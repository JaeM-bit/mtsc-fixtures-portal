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cpherson/Documents/CodexTest/outputs/01a004ef-b04b-7e21-b8a0-6ceca4eac598/"/>
    </mc:Choice>
  </mc:AlternateContent>
  <xr:revisionPtr revIDLastSave="0" documentId="13_ncr:20001_{CA80CE17-CEDC-6645-81BE-9A3F82944886}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Club Setup" sheetId="1" r:id="rId1"/>
    <sheet name="Fixtures Input" sheetId="2" r:id="rId2"/>
    <sheet name="Results Input" sheetId="3" r:id="rId3"/>
    <sheet name="Portal Updates" sheetId="4" r:id="rId4"/>
    <sheet name="By Date" sheetId="5" r:id="rId5"/>
    <sheet name="League Results" sheetId="6" r:id="rId6"/>
    <sheet name="Portal Features" sheetId="7" r:id="rId7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A1" i="7"/>
  <c r="U21" i="6"/>
  <c r="T21" i="6"/>
  <c r="K20" i="6"/>
  <c r="T20" i="6" s="1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H112" i="5"/>
  <c r="E112" i="5"/>
  <c r="C112" i="5"/>
  <c r="H111" i="5"/>
  <c r="E111" i="5"/>
  <c r="C111" i="5"/>
  <c r="H110" i="5"/>
  <c r="E110" i="5"/>
  <c r="C110" i="5"/>
  <c r="H109" i="5"/>
  <c r="E109" i="5"/>
  <c r="C109" i="5"/>
  <c r="H108" i="5"/>
  <c r="E108" i="5"/>
  <c r="C108" i="5"/>
  <c r="L93" i="5"/>
  <c r="I93" i="5"/>
  <c r="H93" i="5"/>
  <c r="G93" i="5"/>
  <c r="F93" i="5"/>
  <c r="C93" i="5"/>
  <c r="D93" i="5" s="1"/>
  <c r="L92" i="5"/>
  <c r="I92" i="5"/>
  <c r="H92" i="5"/>
  <c r="G92" i="5"/>
  <c r="F92" i="5"/>
  <c r="C92" i="5"/>
  <c r="D92" i="5" s="1"/>
  <c r="L91" i="5"/>
  <c r="I91" i="5"/>
  <c r="H91" i="5"/>
  <c r="G91" i="5"/>
  <c r="F91" i="5"/>
  <c r="C91" i="5"/>
  <c r="D91" i="5" s="1"/>
  <c r="L90" i="5"/>
  <c r="I90" i="5"/>
  <c r="H90" i="5"/>
  <c r="G90" i="5"/>
  <c r="F90" i="5"/>
  <c r="C90" i="5"/>
  <c r="D90" i="5" s="1"/>
  <c r="L89" i="5"/>
  <c r="I89" i="5"/>
  <c r="H89" i="5"/>
  <c r="G89" i="5"/>
  <c r="F89" i="5"/>
  <c r="C89" i="5"/>
  <c r="D89" i="5" s="1"/>
  <c r="L88" i="5"/>
  <c r="I88" i="5"/>
  <c r="H88" i="5"/>
  <c r="G88" i="5"/>
  <c r="F88" i="5"/>
  <c r="C88" i="5"/>
  <c r="D88" i="5" s="1"/>
  <c r="L87" i="5"/>
  <c r="I87" i="5"/>
  <c r="H87" i="5"/>
  <c r="G87" i="5"/>
  <c r="F87" i="5"/>
  <c r="C87" i="5"/>
  <c r="D87" i="5" s="1"/>
  <c r="L86" i="5"/>
  <c r="I86" i="5"/>
  <c r="H86" i="5"/>
  <c r="G86" i="5"/>
  <c r="F86" i="5"/>
  <c r="C86" i="5"/>
  <c r="D86" i="5" s="1"/>
  <c r="L85" i="5"/>
  <c r="I85" i="5"/>
  <c r="H85" i="5"/>
  <c r="G85" i="5"/>
  <c r="F85" i="5"/>
  <c r="C85" i="5"/>
  <c r="D85" i="5" s="1"/>
  <c r="L84" i="5"/>
  <c r="I84" i="5"/>
  <c r="H84" i="5"/>
  <c r="G84" i="5"/>
  <c r="F84" i="5"/>
  <c r="C84" i="5"/>
  <c r="D84" i="5" s="1"/>
  <c r="L83" i="5"/>
  <c r="I83" i="5"/>
  <c r="H83" i="5"/>
  <c r="G83" i="5"/>
  <c r="F83" i="5"/>
  <c r="C83" i="5"/>
  <c r="D83" i="5" s="1"/>
  <c r="L82" i="5"/>
  <c r="I82" i="5"/>
  <c r="H82" i="5"/>
  <c r="G82" i="5"/>
  <c r="F82" i="5"/>
  <c r="C82" i="5"/>
  <c r="D82" i="5" s="1"/>
  <c r="L81" i="5"/>
  <c r="I81" i="5"/>
  <c r="H81" i="5"/>
  <c r="G81" i="5"/>
  <c r="F81" i="5"/>
  <c r="C81" i="5"/>
  <c r="D81" i="5" s="1"/>
  <c r="L80" i="5"/>
  <c r="I80" i="5"/>
  <c r="H80" i="5"/>
  <c r="G80" i="5"/>
  <c r="F80" i="5"/>
  <c r="C80" i="5"/>
  <c r="D80" i="5" s="1"/>
  <c r="L79" i="5"/>
  <c r="I79" i="5"/>
  <c r="H79" i="5"/>
  <c r="G79" i="5"/>
  <c r="F79" i="5"/>
  <c r="C79" i="5"/>
  <c r="D79" i="5" s="1"/>
  <c r="L78" i="5"/>
  <c r="I78" i="5"/>
  <c r="H78" i="5"/>
  <c r="G78" i="5"/>
  <c r="F78" i="5"/>
  <c r="C78" i="5"/>
  <c r="D78" i="5" s="1"/>
  <c r="L77" i="5"/>
  <c r="I77" i="5"/>
  <c r="H77" i="5"/>
  <c r="G77" i="5"/>
  <c r="F77" i="5"/>
  <c r="C77" i="5"/>
  <c r="D77" i="5" s="1"/>
  <c r="L76" i="5"/>
  <c r="I76" i="5"/>
  <c r="H76" i="5"/>
  <c r="G76" i="5"/>
  <c r="F76" i="5"/>
  <c r="C76" i="5"/>
  <c r="D76" i="5" s="1"/>
  <c r="L75" i="5"/>
  <c r="I75" i="5"/>
  <c r="H75" i="5"/>
  <c r="G75" i="5"/>
  <c r="F75" i="5"/>
  <c r="C75" i="5"/>
  <c r="D75" i="5" s="1"/>
  <c r="L74" i="5"/>
  <c r="I74" i="5"/>
  <c r="H74" i="5"/>
  <c r="G74" i="5"/>
  <c r="F74" i="5"/>
  <c r="C74" i="5"/>
  <c r="D74" i="5" s="1"/>
  <c r="L73" i="5"/>
  <c r="I73" i="5"/>
  <c r="H73" i="5"/>
  <c r="G73" i="5"/>
  <c r="F73" i="5"/>
  <c r="C73" i="5"/>
  <c r="D73" i="5" s="1"/>
  <c r="L72" i="5"/>
  <c r="I72" i="5"/>
  <c r="H72" i="5"/>
  <c r="G72" i="5"/>
  <c r="F72" i="5"/>
  <c r="C72" i="5"/>
  <c r="D72" i="5" s="1"/>
  <c r="L71" i="5"/>
  <c r="I71" i="5"/>
  <c r="H71" i="5"/>
  <c r="G71" i="5"/>
  <c r="F71" i="5"/>
  <c r="C71" i="5"/>
  <c r="D71" i="5" s="1"/>
  <c r="L70" i="5"/>
  <c r="I70" i="5"/>
  <c r="H70" i="5"/>
  <c r="G70" i="5"/>
  <c r="F70" i="5"/>
  <c r="C70" i="5"/>
  <c r="D70" i="5" s="1"/>
  <c r="L69" i="5"/>
  <c r="I69" i="5"/>
  <c r="H69" i="5"/>
  <c r="G69" i="5"/>
  <c r="F69" i="5"/>
  <c r="C69" i="5"/>
  <c r="D69" i="5" s="1"/>
  <c r="L68" i="5"/>
  <c r="I68" i="5"/>
  <c r="H68" i="5"/>
  <c r="G68" i="5"/>
  <c r="F68" i="5"/>
  <c r="C68" i="5"/>
  <c r="D68" i="5" s="1"/>
  <c r="L67" i="5"/>
  <c r="I67" i="5"/>
  <c r="H67" i="5"/>
  <c r="G67" i="5"/>
  <c r="F67" i="5"/>
  <c r="C67" i="5"/>
  <c r="D67" i="5" s="1"/>
  <c r="L66" i="5"/>
  <c r="I66" i="5"/>
  <c r="H66" i="5"/>
  <c r="G66" i="5"/>
  <c r="F66" i="5"/>
  <c r="C66" i="5"/>
  <c r="D66" i="5" s="1"/>
  <c r="L65" i="5"/>
  <c r="I65" i="5"/>
  <c r="H65" i="5"/>
  <c r="G65" i="5"/>
  <c r="F65" i="5"/>
  <c r="C65" i="5"/>
  <c r="D65" i="5" s="1"/>
  <c r="L64" i="5"/>
  <c r="I64" i="5"/>
  <c r="H64" i="5"/>
  <c r="G64" i="5"/>
  <c r="F64" i="5"/>
  <c r="C64" i="5"/>
  <c r="D64" i="5" s="1"/>
  <c r="L63" i="5"/>
  <c r="I63" i="5"/>
  <c r="H63" i="5"/>
  <c r="G63" i="5"/>
  <c r="F63" i="5"/>
  <c r="C63" i="5"/>
  <c r="D63" i="5" s="1"/>
  <c r="L62" i="5"/>
  <c r="I62" i="5"/>
  <c r="H62" i="5"/>
  <c r="G62" i="5"/>
  <c r="F62" i="5"/>
  <c r="C62" i="5"/>
  <c r="D62" i="5" s="1"/>
  <c r="L61" i="5"/>
  <c r="I61" i="5"/>
  <c r="H61" i="5"/>
  <c r="G61" i="5"/>
  <c r="F61" i="5"/>
  <c r="C61" i="5"/>
  <c r="D61" i="5" s="1"/>
  <c r="L60" i="5"/>
  <c r="I60" i="5"/>
  <c r="H60" i="5"/>
  <c r="G60" i="5"/>
  <c r="F60" i="5"/>
  <c r="C60" i="5"/>
  <c r="D60" i="5" s="1"/>
  <c r="L59" i="5"/>
  <c r="I59" i="5"/>
  <c r="H59" i="5"/>
  <c r="G59" i="5"/>
  <c r="F59" i="5"/>
  <c r="C59" i="5"/>
  <c r="D59" i="5" s="1"/>
  <c r="L58" i="5"/>
  <c r="I58" i="5"/>
  <c r="H58" i="5"/>
  <c r="G58" i="5"/>
  <c r="F58" i="5"/>
  <c r="C58" i="5"/>
  <c r="D58" i="5" s="1"/>
  <c r="L57" i="5"/>
  <c r="I57" i="5"/>
  <c r="H57" i="5"/>
  <c r="G57" i="5"/>
  <c r="F57" i="5"/>
  <c r="C57" i="5"/>
  <c r="D57" i="5" s="1"/>
  <c r="L56" i="5"/>
  <c r="I56" i="5"/>
  <c r="H56" i="5"/>
  <c r="G56" i="5"/>
  <c r="F56" i="5"/>
  <c r="C56" i="5"/>
  <c r="D56" i="5" s="1"/>
  <c r="L55" i="5"/>
  <c r="I55" i="5"/>
  <c r="H55" i="5"/>
  <c r="G55" i="5"/>
  <c r="F55" i="5"/>
  <c r="C55" i="5"/>
  <c r="D55" i="5" s="1"/>
  <c r="L54" i="5"/>
  <c r="I54" i="5"/>
  <c r="H54" i="5"/>
  <c r="G54" i="5"/>
  <c r="F54" i="5"/>
  <c r="C54" i="5"/>
  <c r="D54" i="5" s="1"/>
  <c r="L53" i="5"/>
  <c r="I53" i="5"/>
  <c r="H53" i="5"/>
  <c r="G53" i="5"/>
  <c r="F53" i="5"/>
  <c r="C53" i="5"/>
  <c r="D53" i="5" s="1"/>
  <c r="L52" i="5"/>
  <c r="I52" i="5"/>
  <c r="H52" i="5"/>
  <c r="G52" i="5"/>
  <c r="F52" i="5"/>
  <c r="C52" i="5"/>
  <c r="D52" i="5" s="1"/>
  <c r="L51" i="5"/>
  <c r="I51" i="5"/>
  <c r="H51" i="5"/>
  <c r="G51" i="5"/>
  <c r="F51" i="5"/>
  <c r="C51" i="5"/>
  <c r="D51" i="5" s="1"/>
  <c r="L50" i="5"/>
  <c r="I50" i="5"/>
  <c r="H50" i="5"/>
  <c r="G50" i="5"/>
  <c r="F50" i="5"/>
  <c r="C50" i="5"/>
  <c r="D50" i="5" s="1"/>
  <c r="L49" i="5"/>
  <c r="I49" i="5"/>
  <c r="H49" i="5"/>
  <c r="G49" i="5"/>
  <c r="F49" i="5"/>
  <c r="C49" i="5"/>
  <c r="D49" i="5" s="1"/>
  <c r="L48" i="5"/>
  <c r="I48" i="5"/>
  <c r="H48" i="5"/>
  <c r="G48" i="5"/>
  <c r="F48" i="5"/>
  <c r="C48" i="5"/>
  <c r="D48" i="5" s="1"/>
  <c r="L47" i="5"/>
  <c r="I47" i="5"/>
  <c r="H47" i="5"/>
  <c r="G47" i="5"/>
  <c r="F47" i="5"/>
  <c r="C47" i="5"/>
  <c r="D47" i="5" s="1"/>
  <c r="L46" i="5"/>
  <c r="I46" i="5"/>
  <c r="H46" i="5"/>
  <c r="G46" i="5"/>
  <c r="F46" i="5"/>
  <c r="C46" i="5"/>
  <c r="D46" i="5" s="1"/>
  <c r="L45" i="5"/>
  <c r="I45" i="5"/>
  <c r="H45" i="5"/>
  <c r="G45" i="5"/>
  <c r="F45" i="5"/>
  <c r="C45" i="5"/>
  <c r="D45" i="5" s="1"/>
  <c r="L44" i="5"/>
  <c r="I44" i="5"/>
  <c r="H44" i="5"/>
  <c r="G44" i="5"/>
  <c r="F44" i="5"/>
  <c r="C44" i="5"/>
  <c r="D44" i="5" s="1"/>
  <c r="L43" i="5"/>
  <c r="I43" i="5"/>
  <c r="H43" i="5"/>
  <c r="G43" i="5"/>
  <c r="F43" i="5"/>
  <c r="C43" i="5"/>
  <c r="D43" i="5" s="1"/>
  <c r="L42" i="5"/>
  <c r="I42" i="5"/>
  <c r="H42" i="5"/>
  <c r="G42" i="5"/>
  <c r="F42" i="5"/>
  <c r="C42" i="5"/>
  <c r="D42" i="5" s="1"/>
  <c r="L41" i="5"/>
  <c r="I41" i="5"/>
  <c r="H41" i="5"/>
  <c r="G41" i="5"/>
  <c r="F41" i="5"/>
  <c r="C41" i="5"/>
  <c r="D41" i="5" s="1"/>
  <c r="L40" i="5"/>
  <c r="I40" i="5"/>
  <c r="H40" i="5"/>
  <c r="G40" i="5"/>
  <c r="F40" i="5"/>
  <c r="C40" i="5"/>
  <c r="D40" i="5" s="1"/>
  <c r="L39" i="5"/>
  <c r="I39" i="5"/>
  <c r="H39" i="5"/>
  <c r="G39" i="5"/>
  <c r="F39" i="5"/>
  <c r="C39" i="5"/>
  <c r="D39" i="5" s="1"/>
  <c r="L38" i="5"/>
  <c r="I38" i="5"/>
  <c r="H38" i="5"/>
  <c r="G38" i="5"/>
  <c r="F38" i="5"/>
  <c r="C38" i="5"/>
  <c r="D38" i="5" s="1"/>
  <c r="L37" i="5"/>
  <c r="I37" i="5"/>
  <c r="H37" i="5"/>
  <c r="G37" i="5"/>
  <c r="F37" i="5"/>
  <c r="C37" i="5"/>
  <c r="D37" i="5" s="1"/>
  <c r="L36" i="5"/>
  <c r="I36" i="5"/>
  <c r="H36" i="5"/>
  <c r="G36" i="5"/>
  <c r="F36" i="5"/>
  <c r="C36" i="5"/>
  <c r="D36" i="5" s="1"/>
  <c r="L35" i="5"/>
  <c r="I35" i="5"/>
  <c r="H35" i="5"/>
  <c r="G35" i="5"/>
  <c r="F35" i="5"/>
  <c r="C35" i="5"/>
  <c r="D35" i="5" s="1"/>
  <c r="L34" i="5"/>
  <c r="I34" i="5"/>
  <c r="H34" i="5"/>
  <c r="G34" i="5"/>
  <c r="F34" i="5"/>
  <c r="C34" i="5"/>
  <c r="D34" i="5" s="1"/>
  <c r="L33" i="5"/>
  <c r="I33" i="5"/>
  <c r="H33" i="5"/>
  <c r="G33" i="5"/>
  <c r="F33" i="5"/>
  <c r="C33" i="5"/>
  <c r="D33" i="5" s="1"/>
  <c r="L32" i="5"/>
  <c r="I32" i="5"/>
  <c r="H32" i="5"/>
  <c r="G32" i="5"/>
  <c r="F32" i="5"/>
  <c r="C32" i="5"/>
  <c r="D32" i="5" s="1"/>
  <c r="L31" i="5"/>
  <c r="I31" i="5"/>
  <c r="H31" i="5"/>
  <c r="G31" i="5"/>
  <c r="F31" i="5"/>
  <c r="C31" i="5"/>
  <c r="D31" i="5" s="1"/>
  <c r="L30" i="5"/>
  <c r="I30" i="5"/>
  <c r="H30" i="5"/>
  <c r="G30" i="5"/>
  <c r="F30" i="5"/>
  <c r="C30" i="5"/>
  <c r="D30" i="5" s="1"/>
  <c r="L29" i="5"/>
  <c r="I29" i="5"/>
  <c r="H29" i="5"/>
  <c r="G29" i="5"/>
  <c r="F29" i="5"/>
  <c r="C29" i="5"/>
  <c r="D29" i="5" s="1"/>
  <c r="L28" i="5"/>
  <c r="I28" i="5"/>
  <c r="H28" i="5"/>
  <c r="G28" i="5"/>
  <c r="F28" i="5"/>
  <c r="C28" i="5"/>
  <c r="D28" i="5" s="1"/>
  <c r="L27" i="5"/>
  <c r="I27" i="5"/>
  <c r="H27" i="5"/>
  <c r="G27" i="5"/>
  <c r="F27" i="5"/>
  <c r="C27" i="5"/>
  <c r="D27" i="5" s="1"/>
  <c r="L26" i="5"/>
  <c r="I26" i="5"/>
  <c r="H26" i="5"/>
  <c r="G26" i="5"/>
  <c r="F26" i="5"/>
  <c r="C26" i="5"/>
  <c r="D26" i="5" s="1"/>
  <c r="L25" i="5"/>
  <c r="I25" i="5"/>
  <c r="H25" i="5"/>
  <c r="G25" i="5"/>
  <c r="F25" i="5"/>
  <c r="C25" i="5"/>
  <c r="D25" i="5" s="1"/>
  <c r="L24" i="5"/>
  <c r="I24" i="5"/>
  <c r="H24" i="5"/>
  <c r="G24" i="5"/>
  <c r="F24" i="5"/>
  <c r="C24" i="5"/>
  <c r="D24" i="5" s="1"/>
  <c r="L23" i="5"/>
  <c r="I23" i="5"/>
  <c r="H23" i="5"/>
  <c r="G23" i="5"/>
  <c r="F23" i="5"/>
  <c r="C23" i="5"/>
  <c r="D23" i="5" s="1"/>
  <c r="L22" i="5"/>
  <c r="I22" i="5"/>
  <c r="H22" i="5"/>
  <c r="G22" i="5"/>
  <c r="F22" i="5"/>
  <c r="C22" i="5"/>
  <c r="D22" i="5" s="1"/>
  <c r="L21" i="5"/>
  <c r="I21" i="5"/>
  <c r="H21" i="5"/>
  <c r="G21" i="5"/>
  <c r="F21" i="5"/>
  <c r="C21" i="5"/>
  <c r="D21" i="5" s="1"/>
  <c r="L20" i="5"/>
  <c r="I20" i="5"/>
  <c r="H20" i="5"/>
  <c r="G20" i="5"/>
  <c r="F20" i="5"/>
  <c r="C20" i="5"/>
  <c r="D20" i="5" s="1"/>
  <c r="L19" i="5"/>
  <c r="I19" i="5"/>
  <c r="H19" i="5"/>
  <c r="G19" i="5"/>
  <c r="F19" i="5"/>
  <c r="C19" i="5"/>
  <c r="D19" i="5" s="1"/>
  <c r="L18" i="5"/>
  <c r="I18" i="5"/>
  <c r="H18" i="5"/>
  <c r="G18" i="5"/>
  <c r="F18" i="5"/>
  <c r="C18" i="5"/>
  <c r="D18" i="5" s="1"/>
  <c r="L17" i="5"/>
  <c r="I17" i="5"/>
  <c r="H17" i="5"/>
  <c r="G17" i="5"/>
  <c r="F17" i="5"/>
  <c r="C17" i="5"/>
  <c r="D17" i="5" s="1"/>
  <c r="L16" i="5"/>
  <c r="I16" i="5"/>
  <c r="H16" i="5"/>
  <c r="G16" i="5"/>
  <c r="F16" i="5"/>
  <c r="C16" i="5"/>
  <c r="D16" i="5" s="1"/>
  <c r="L15" i="5"/>
  <c r="I15" i="5"/>
  <c r="H15" i="5"/>
  <c r="G15" i="5"/>
  <c r="F15" i="5"/>
  <c r="C15" i="5"/>
  <c r="D15" i="5" s="1"/>
  <c r="L14" i="5"/>
  <c r="I14" i="5"/>
  <c r="H14" i="5"/>
  <c r="G14" i="5"/>
  <c r="F14" i="5"/>
  <c r="C14" i="5"/>
  <c r="D14" i="5" s="1"/>
  <c r="L13" i="5"/>
  <c r="I13" i="5"/>
  <c r="H13" i="5"/>
  <c r="G13" i="5"/>
  <c r="F13" i="5"/>
  <c r="C13" i="5"/>
  <c r="D13" i="5" s="1"/>
  <c r="L12" i="5"/>
  <c r="I12" i="5"/>
  <c r="H12" i="5"/>
  <c r="G12" i="5"/>
  <c r="F12" i="5"/>
  <c r="C12" i="5"/>
  <c r="D12" i="5" s="1"/>
  <c r="L11" i="5"/>
  <c r="I11" i="5"/>
  <c r="H11" i="5"/>
  <c r="G11" i="5"/>
  <c r="F11" i="5"/>
  <c r="C11" i="5"/>
  <c r="D11" i="5" s="1"/>
  <c r="L10" i="5"/>
  <c r="I10" i="5"/>
  <c r="H10" i="5"/>
  <c r="G10" i="5"/>
  <c r="F10" i="5"/>
  <c r="C10" i="5"/>
  <c r="D10" i="5" s="1"/>
  <c r="L9" i="5"/>
  <c r="I9" i="5"/>
  <c r="H9" i="5"/>
  <c r="G9" i="5"/>
  <c r="F9" i="5"/>
  <c r="C9" i="5"/>
  <c r="D9" i="5" s="1"/>
  <c r="L8" i="5"/>
  <c r="I8" i="5"/>
  <c r="H8" i="5"/>
  <c r="G8" i="5"/>
  <c r="F8" i="5"/>
  <c r="C8" i="5"/>
  <c r="D8" i="5" s="1"/>
  <c r="L7" i="5"/>
  <c r="I7" i="5"/>
  <c r="H7" i="5"/>
  <c r="G7" i="5"/>
  <c r="F7" i="5"/>
  <c r="C7" i="5"/>
  <c r="D7" i="5" s="1"/>
  <c r="L6" i="5"/>
  <c r="I6" i="5"/>
  <c r="H6" i="5"/>
  <c r="G6" i="5"/>
  <c r="F6" i="5"/>
  <c r="C6" i="5"/>
  <c r="D6" i="5" s="1"/>
  <c r="L5" i="5"/>
  <c r="I5" i="5"/>
  <c r="H5" i="5"/>
  <c r="G5" i="5"/>
  <c r="F5" i="5"/>
  <c r="C5" i="5"/>
  <c r="D5" i="5" s="1"/>
  <c r="L4" i="5"/>
  <c r="I4" i="5"/>
  <c r="H4" i="5"/>
  <c r="G4" i="5"/>
  <c r="F4" i="5"/>
  <c r="C4" i="5"/>
  <c r="D4" i="5" s="1"/>
  <c r="L3" i="5"/>
  <c r="I3" i="5"/>
  <c r="H3" i="5"/>
  <c r="G3" i="5"/>
  <c r="F3" i="5"/>
  <c r="C3" i="5"/>
  <c r="D3" i="5" s="1"/>
  <c r="L2" i="5"/>
  <c r="I2" i="5"/>
  <c r="H2" i="5"/>
  <c r="G2" i="5"/>
  <c r="F2" i="5"/>
  <c r="C2" i="5"/>
  <c r="D2" i="5" s="1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S20" i="6" l="1"/>
  <c r="AC20" i="6"/>
  <c r="Z20" i="6"/>
  <c r="T19" i="6"/>
  <c r="S19" i="6"/>
  <c r="Z19" i="6"/>
  <c r="AC19" i="6"/>
  <c r="AC18" i="6"/>
  <c r="Z18" i="6"/>
  <c r="T18" i="6"/>
  <c r="S18" i="6"/>
  <c r="S17" i="6"/>
  <c r="T17" i="6"/>
  <c r="AC17" i="6"/>
  <c r="Z17" i="6"/>
  <c r="S16" i="6"/>
  <c r="T16" i="6"/>
  <c r="AC16" i="6"/>
  <c r="Z16" i="6"/>
  <c r="T15" i="6"/>
  <c r="S15" i="6" s="1"/>
  <c r="Z15" i="6"/>
  <c r="S14" i="6"/>
  <c r="AC14" i="6"/>
  <c r="T14" i="6"/>
  <c r="Z14" i="6"/>
  <c r="S13" i="6"/>
  <c r="AC13" i="6"/>
  <c r="Z13" i="6"/>
  <c r="T13" i="6"/>
  <c r="S12" i="6"/>
  <c r="AC12" i="6"/>
  <c r="Z12" i="6"/>
  <c r="T12" i="6"/>
  <c r="Z11" i="6"/>
  <c r="T11" i="6"/>
  <c r="AC11" i="6"/>
  <c r="S11" i="6"/>
  <c r="Z10" i="6"/>
  <c r="S10" i="6"/>
  <c r="T10" i="6"/>
  <c r="AC10" i="6"/>
  <c r="T9" i="6"/>
  <c r="S9" i="6"/>
  <c r="AC9" i="6"/>
  <c r="Z9" i="6"/>
  <c r="Z8" i="6"/>
  <c r="AC8" i="6"/>
  <c r="S8" i="6"/>
  <c r="T8" i="6"/>
  <c r="AC7" i="6"/>
  <c r="T7" i="6"/>
  <c r="S7" i="6"/>
  <c r="Z7" i="6"/>
  <c r="AC15" i="6" l="1"/>
</calcChain>
</file>

<file path=xl/sharedStrings.xml><?xml version="1.0" encoding="utf-8"?>
<sst xmlns="http://schemas.openxmlformats.org/spreadsheetml/2006/main" count="91" uniqueCount="67">
  <si>
    <t>Tennis Club Portal Workbook</t>
  </si>
  <si>
    <t>Enter your club and season details, then list up to 14 teams. Blue cells are for input; grey cells are portal outputs.</t>
  </si>
  <si>
    <t>Club name</t>
  </si>
  <si>
    <t>Used for reference; team names should be entered in full below.</t>
  </si>
  <si>
    <t>Portal team prefix</t>
  </si>
  <si>
    <t>Teams whose names begin with this text are treated as your club teams.</t>
  </si>
  <si>
    <t>Season start</t>
  </si>
  <si>
    <t>Portal importer currently accepts 1 April to 31 August 2026.</t>
  </si>
  <si>
    <t>Season end</t>
  </si>
  <si>
    <t>Change only if the portal importer season window is updated.</t>
  </si>
  <si>
    <t>Team name</t>
  </si>
  <si>
    <t>Planned matches</t>
  </si>
  <si>
    <t>Active?</t>
  </si>
  <si>
    <t>Notes</t>
  </si>
  <si>
    <t>Yes</t>
  </si>
  <si>
    <t>Fixtures Input</t>
  </si>
  <si>
    <t>Enter one fixture per row. Day is calculated automatically. Maximum 92 fixtures matches the portal's By Date rows 2–93.</t>
  </si>
  <si>
    <t>Date</t>
  </si>
  <si>
    <t>Day (auto)</t>
  </si>
  <si>
    <t>Time</t>
  </si>
  <si>
    <t>Home team</t>
  </si>
  <si>
    <t>Away team</t>
  </si>
  <si>
    <t>H / A</t>
  </si>
  <si>
    <t>Status</t>
  </si>
  <si>
    <t>Results Input</t>
  </si>
  <si>
    <t>Enter one row for each club-team match. Set Played and Won to Yes/No; Net Points drives the portal average rankings.</t>
  </si>
  <si>
    <t>Club team</t>
  </si>
  <si>
    <t>Opponent</t>
  </si>
  <si>
    <t>Played?</t>
  </si>
  <si>
    <t>Won?</t>
  </si>
  <si>
    <t>Net points</t>
  </si>
  <si>
    <t>Portal Updates</t>
  </si>
  <si>
    <t>Type the recent portal feature notes below. Line breaks are supported; the text is copied automatically to Portal Features!A1.</t>
  </si>
  <si>
    <t>Recent features in the past week</t>
  </si>
  <si>
    <t>Tip</t>
  </si>
  <si>
    <t>Use Alt+Enter (Windows) or Control+Option+Return (Mac) for a line break in the cell.</t>
  </si>
  <si>
    <t>Portal mapping — do not rename or rearrange</t>
  </si>
  <si>
    <t>Day</t>
  </si>
  <si>
    <t>Home Team</t>
  </si>
  <si>
    <t>Away Team</t>
  </si>
  <si>
    <t>Venue</t>
  </si>
  <si>
    <t>Monthly portal totals</t>
  </si>
  <si>
    <t>Month</t>
  </si>
  <si>
    <t>Originally Planned</t>
  </si>
  <si>
    <t>Played</t>
  </si>
  <si>
    <t>Currently Planned</t>
  </si>
  <si>
    <t>April</t>
  </si>
  <si>
    <t>May</t>
  </si>
  <si>
    <t>June</t>
  </si>
  <si>
    <t>July</t>
  </si>
  <si>
    <t>August</t>
  </si>
  <si>
    <t>League Results — portal mapping</t>
  </si>
  <si>
    <t>Team</t>
  </si>
  <si>
    <t>Remaining</t>
  </si>
  <si>
    <t>Avg Net Points</t>
  </si>
  <si>
    <t>% Played</t>
  </si>
  <si>
    <t>Portal summary totals</t>
  </si>
  <si>
    <t>Total Matches Played</t>
  </si>
  <si>
    <t>Total Wins</t>
  </si>
  <si>
    <t>Portal reads A1 only — update the blue input cell on Portal Updates.</t>
  </si>
  <si>
    <t>test team</t>
  </si>
  <si>
    <t>bournemouth</t>
  </si>
  <si>
    <t>milford</t>
  </si>
  <si>
    <t>H</t>
  </si>
  <si>
    <t>Bournemouth</t>
  </si>
  <si>
    <t>Milford</t>
  </si>
  <si>
    <t>The Mouth of Bourne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</si>
</sst>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24364B"/>
      <name val="Aptos"/>
    </font>
    <font>
      <b/>
      <sz val="16"/>
      <color rgb="FFFFFFFF"/>
      <name val="Aptos Display"/>
    </font>
    <font>
      <b/>
      <sz val="10"/>
      <color rgb="FFFFFFFF"/>
      <name val="Aptos"/>
    </font>
    <font>
      <i/>
      <sz val="10"/>
      <color rgb="FF526170"/>
      <name val="Aptos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0" fillId="5" borderId="1" xfId="0" applyFill="1" applyBorder="1"/>
    <xf numFmtId="14" fontId="0" fillId="4" borderId="1" xfId="0" applyNumberFormat="1" applyFill="1" applyBorder="1"/>
    <xf numFmtId="0" fontId="3" fillId="5" borderId="1" xfId="0" applyFont="1" applyFill="1" applyBorder="1" applyAlignment="1">
      <alignment vertical="center" wrapText="1"/>
    </xf>
    <xf numFmtId="20" fontId="0" fillId="4" borderId="1" xfId="0" applyNumberFormat="1" applyFill="1" applyBorder="1"/>
    <xf numFmtId="164" fontId="0" fillId="4" borderId="1" xfId="0" applyNumberFormat="1" applyFill="1" applyBorder="1"/>
    <xf numFmtId="14" fontId="0" fillId="5" borderId="1" xfId="0" applyNumberFormat="1" applyFill="1" applyBorder="1"/>
    <xf numFmtId="20" fontId="0" fillId="5" borderId="1" xfId="0" applyNumberFormat="1" applyFill="1" applyBorder="1"/>
    <xf numFmtId="0" fontId="0" fillId="5" borderId="1" xfId="0" applyFill="1" applyBorder="1" applyAlignment="1">
      <alignment horizontal="right"/>
    </xf>
    <xf numFmtId="164" fontId="0" fillId="5" borderId="1" xfId="0" applyNumberFormat="1" applyFill="1" applyBorder="1"/>
    <xf numFmtId="9" fontId="0" fillId="5" borderId="1" xfId="0" applyNumberFormat="1" applyFill="1" applyBorder="1"/>
    <xf numFmtId="0" fontId="2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3" fillId="5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D24"/>
  <sheetViews>
    <sheetView showGridLines="0" tabSelected="1" workbookViewId="0">
      <pane ySplit="10" topLeftCell="A11" activePane="bottomLeft" state="frozen"/>
      <selection pane="bottomLeft" activeCell="B6" sqref="B6"/>
    </sheetView>
  </sheetViews>
  <sheetFormatPr baseColWidth="10" defaultColWidth="9" defaultRowHeight="14" x14ac:dyDescent="0.2"/>
  <cols>
    <col min="1" max="1" width="27" customWidth="1"/>
    <col min="2" max="2" width="18" customWidth="1"/>
    <col min="3" max="3" width="16" customWidth="1"/>
    <col min="4" max="4" width="48" customWidth="1"/>
  </cols>
  <sheetData>
    <row r="1" spans="1:4" ht="20" x14ac:dyDescent="0.2">
      <c r="A1" s="17" t="s">
        <v>0</v>
      </c>
      <c r="B1" s="17"/>
      <c r="C1" s="17"/>
      <c r="D1" s="17"/>
    </row>
    <row r="2" spans="1:4" ht="34" customHeight="1" x14ac:dyDescent="0.2">
      <c r="A2" s="18" t="s">
        <v>1</v>
      </c>
      <c r="B2" s="18"/>
      <c r="C2" s="18"/>
      <c r="D2" s="18"/>
    </row>
    <row r="4" spans="1:4" x14ac:dyDescent="0.2">
      <c r="A4" s="1" t="s">
        <v>2</v>
      </c>
      <c r="B4" s="2" t="s">
        <v>66</v>
      </c>
      <c r="C4" s="16" t="s">
        <v>3</v>
      </c>
      <c r="D4" s="16"/>
    </row>
    <row r="5" spans="1:4" x14ac:dyDescent="0.2">
      <c r="A5" s="1" t="s">
        <v>4</v>
      </c>
      <c r="B5" s="2" t="s">
        <v>64</v>
      </c>
      <c r="C5" s="16" t="s">
        <v>5</v>
      </c>
      <c r="D5" s="16"/>
    </row>
    <row r="6" spans="1:4" x14ac:dyDescent="0.2">
      <c r="A6" s="1" t="s">
        <v>6</v>
      </c>
      <c r="B6" s="5">
        <v>46113</v>
      </c>
      <c r="C6" s="16" t="s">
        <v>7</v>
      </c>
      <c r="D6" s="16"/>
    </row>
    <row r="7" spans="1:4" x14ac:dyDescent="0.2">
      <c r="A7" s="1" t="s">
        <v>8</v>
      </c>
      <c r="B7" s="5">
        <v>46265</v>
      </c>
      <c r="C7" s="16" t="s">
        <v>9</v>
      </c>
      <c r="D7" s="16"/>
    </row>
    <row r="10" spans="1:4" x14ac:dyDescent="0.2">
      <c r="A10" s="1" t="s">
        <v>10</v>
      </c>
      <c r="B10" s="1" t="s">
        <v>11</v>
      </c>
      <c r="C10" s="1" t="s">
        <v>12</v>
      </c>
      <c r="D10" s="1" t="s">
        <v>13</v>
      </c>
    </row>
    <row r="11" spans="1:4" x14ac:dyDescent="0.2">
      <c r="A11" s="2"/>
      <c r="B11" s="3"/>
      <c r="C11" s="2" t="s">
        <v>14</v>
      </c>
      <c r="D11" s="2"/>
    </row>
    <row r="12" spans="1:4" x14ac:dyDescent="0.2">
      <c r="A12" s="2"/>
      <c r="B12" s="3"/>
      <c r="C12" s="2" t="s">
        <v>14</v>
      </c>
      <c r="D12" s="2"/>
    </row>
    <row r="13" spans="1:4" x14ac:dyDescent="0.2">
      <c r="A13" s="2"/>
      <c r="B13" s="3"/>
      <c r="C13" s="2" t="s">
        <v>14</v>
      </c>
      <c r="D13" s="2"/>
    </row>
    <row r="14" spans="1:4" x14ac:dyDescent="0.2">
      <c r="A14" s="2"/>
      <c r="B14" s="3"/>
      <c r="C14" s="2" t="s">
        <v>14</v>
      </c>
      <c r="D14" s="2"/>
    </row>
    <row r="15" spans="1:4" x14ac:dyDescent="0.2">
      <c r="A15" s="2"/>
      <c r="B15" s="3"/>
      <c r="C15" s="2" t="s">
        <v>14</v>
      </c>
      <c r="D15" s="2"/>
    </row>
    <row r="16" spans="1:4" x14ac:dyDescent="0.2">
      <c r="A16" s="2"/>
      <c r="B16" s="3"/>
      <c r="C16" s="2" t="s">
        <v>14</v>
      </c>
      <c r="D16" s="2"/>
    </row>
    <row r="17" spans="1:4" x14ac:dyDescent="0.2">
      <c r="A17" s="2"/>
      <c r="B17" s="3"/>
      <c r="C17" s="2" t="s">
        <v>14</v>
      </c>
      <c r="D17" s="2"/>
    </row>
    <row r="18" spans="1:4" x14ac:dyDescent="0.2">
      <c r="A18" s="2"/>
      <c r="B18" s="3"/>
      <c r="C18" s="2" t="s">
        <v>14</v>
      </c>
      <c r="D18" s="2"/>
    </row>
    <row r="19" spans="1:4" x14ac:dyDescent="0.2">
      <c r="A19" s="2" t="s">
        <v>60</v>
      </c>
      <c r="B19" s="3">
        <v>4</v>
      </c>
      <c r="C19" s="2" t="s">
        <v>14</v>
      </c>
      <c r="D19" s="2"/>
    </row>
    <row r="20" spans="1:4" x14ac:dyDescent="0.2">
      <c r="A20" s="2"/>
      <c r="B20" s="3"/>
      <c r="C20" s="2" t="s">
        <v>14</v>
      </c>
      <c r="D20" s="2"/>
    </row>
    <row r="21" spans="1:4" x14ac:dyDescent="0.2">
      <c r="A21" s="2"/>
      <c r="B21" s="3"/>
      <c r="C21" s="2" t="s">
        <v>14</v>
      </c>
      <c r="D21" s="2"/>
    </row>
    <row r="22" spans="1:4" x14ac:dyDescent="0.2">
      <c r="A22" s="2"/>
      <c r="B22" s="3"/>
      <c r="C22" s="2" t="s">
        <v>14</v>
      </c>
      <c r="D22" s="2"/>
    </row>
    <row r="23" spans="1:4" x14ac:dyDescent="0.2">
      <c r="A23" s="2"/>
      <c r="B23" s="3"/>
      <c r="C23" s="2" t="s">
        <v>14</v>
      </c>
      <c r="D23" s="2"/>
    </row>
    <row r="24" spans="1:4" x14ac:dyDescent="0.2">
      <c r="A24" s="2"/>
      <c r="B24" s="3"/>
      <c r="C24" s="2" t="s">
        <v>14</v>
      </c>
      <c r="D24" s="2"/>
    </row>
  </sheetData>
  <mergeCells count="6">
    <mergeCell ref="C7:D7"/>
    <mergeCell ref="A1:D1"/>
    <mergeCell ref="A2:D2"/>
    <mergeCell ref="C4:D4"/>
    <mergeCell ref="C5:D5"/>
    <mergeCell ref="C6:D6"/>
  </mergeCells>
  <dataValidations count="1">
    <dataValidation type="list" allowBlank="1" showInputMessage="1" showErrorMessage="1" sqref="C11:C24" xr:uid="{00000000-0002-0000-0000-000000000000}">
      <formula1>"Yes,No"</formula1>
    </dataValidation>
  </dataValidations>
  <pageMargins left="0.3" right="0.3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G96"/>
  <sheetViews>
    <sheetView showGridLines="0" workbookViewId="0">
      <pane ySplit="4" topLeftCell="A5" activePane="bottomLeft" state="frozen"/>
      <selection pane="bottomLeft" activeCell="I12" sqref="I12"/>
    </sheetView>
  </sheetViews>
  <sheetFormatPr baseColWidth="10" defaultColWidth="9" defaultRowHeight="14" x14ac:dyDescent="0.2"/>
  <cols>
    <col min="1" max="2" width="14" customWidth="1"/>
    <col min="3" max="3" width="12" customWidth="1"/>
    <col min="4" max="5" width="28" customWidth="1"/>
    <col min="6" max="6" width="11" customWidth="1"/>
    <col min="7" max="7" width="18" customWidth="1"/>
  </cols>
  <sheetData>
    <row r="1" spans="1:7" ht="20" x14ac:dyDescent="0.2">
      <c r="A1" s="17" t="s">
        <v>15</v>
      </c>
      <c r="B1" s="17"/>
      <c r="C1" s="17"/>
      <c r="D1" s="17"/>
      <c r="E1" s="17"/>
      <c r="F1" s="17"/>
      <c r="G1" s="17"/>
    </row>
    <row r="2" spans="1:7" ht="32" customHeight="1" x14ac:dyDescent="0.2">
      <c r="A2" s="18" t="s">
        <v>16</v>
      </c>
      <c r="B2" s="18"/>
      <c r="C2" s="18"/>
      <c r="D2" s="18"/>
      <c r="E2" s="18"/>
      <c r="F2" s="18"/>
      <c r="G2" s="18"/>
    </row>
    <row r="4" spans="1:7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 x14ac:dyDescent="0.2">
      <c r="A5" s="5">
        <v>46145</v>
      </c>
      <c r="B5" s="4" t="str">
        <f t="shared" ref="B5:B36" si="0">IF(A5="","",TEXT(A5,"ddd"))</f>
        <v>Sun</v>
      </c>
      <c r="C5" s="7">
        <v>1500</v>
      </c>
      <c r="D5" s="2" t="s">
        <v>61</v>
      </c>
      <c r="E5" s="2" t="s">
        <v>62</v>
      </c>
      <c r="F5" s="2" t="s">
        <v>63</v>
      </c>
      <c r="G5" s="2" t="s">
        <v>44</v>
      </c>
    </row>
    <row r="6" spans="1:7" x14ac:dyDescent="0.2">
      <c r="A6" s="5"/>
      <c r="B6" s="4" t="str">
        <f t="shared" si="0"/>
        <v/>
      </c>
      <c r="C6" s="7"/>
      <c r="D6" s="2"/>
      <c r="E6" s="2"/>
      <c r="F6" s="2"/>
      <c r="G6" s="2"/>
    </row>
    <row r="7" spans="1:7" x14ac:dyDescent="0.2">
      <c r="A7" s="5"/>
      <c r="B7" s="4" t="str">
        <f t="shared" si="0"/>
        <v/>
      </c>
      <c r="C7" s="7"/>
      <c r="D7" s="2"/>
      <c r="E7" s="2"/>
      <c r="F7" s="2"/>
      <c r="G7" s="2"/>
    </row>
    <row r="8" spans="1:7" x14ac:dyDescent="0.2">
      <c r="A8" s="5"/>
      <c r="B8" s="4" t="str">
        <f t="shared" si="0"/>
        <v/>
      </c>
      <c r="C8" s="7"/>
      <c r="D8" s="2"/>
      <c r="E8" s="2"/>
      <c r="F8" s="2"/>
      <c r="G8" s="2"/>
    </row>
    <row r="9" spans="1:7" x14ac:dyDescent="0.2">
      <c r="A9" s="5"/>
      <c r="B9" s="4" t="str">
        <f t="shared" si="0"/>
        <v/>
      </c>
      <c r="C9" s="7"/>
      <c r="D9" s="2"/>
      <c r="E9" s="2"/>
      <c r="F9" s="2"/>
      <c r="G9" s="2"/>
    </row>
    <row r="10" spans="1:7" x14ac:dyDescent="0.2">
      <c r="A10" s="5"/>
      <c r="B10" s="4" t="str">
        <f t="shared" si="0"/>
        <v/>
      </c>
      <c r="C10" s="7"/>
      <c r="D10" s="2"/>
      <c r="E10" s="2"/>
      <c r="F10" s="2"/>
      <c r="G10" s="2"/>
    </row>
    <row r="11" spans="1:7" x14ac:dyDescent="0.2">
      <c r="A11" s="5"/>
      <c r="B11" s="4" t="str">
        <f t="shared" si="0"/>
        <v/>
      </c>
      <c r="C11" s="7"/>
      <c r="D11" s="2"/>
      <c r="E11" s="2"/>
      <c r="F11" s="2"/>
      <c r="G11" s="2"/>
    </row>
    <row r="12" spans="1:7" x14ac:dyDescent="0.2">
      <c r="A12" s="5"/>
      <c r="B12" s="4" t="str">
        <f t="shared" si="0"/>
        <v/>
      </c>
      <c r="C12" s="7"/>
      <c r="D12" s="2"/>
      <c r="E12" s="2"/>
      <c r="F12" s="2"/>
      <c r="G12" s="2"/>
    </row>
    <row r="13" spans="1:7" x14ac:dyDescent="0.2">
      <c r="A13" s="5"/>
      <c r="B13" s="4" t="str">
        <f t="shared" si="0"/>
        <v/>
      </c>
      <c r="C13" s="7"/>
      <c r="D13" s="2"/>
      <c r="E13" s="2"/>
      <c r="F13" s="2"/>
      <c r="G13" s="2"/>
    </row>
    <row r="14" spans="1:7" x14ac:dyDescent="0.2">
      <c r="A14" s="5"/>
      <c r="B14" s="4" t="str">
        <f t="shared" si="0"/>
        <v/>
      </c>
      <c r="C14" s="7"/>
      <c r="D14" s="2"/>
      <c r="E14" s="2"/>
      <c r="F14" s="2"/>
      <c r="G14" s="2"/>
    </row>
    <row r="15" spans="1:7" x14ac:dyDescent="0.2">
      <c r="A15" s="5"/>
      <c r="B15" s="4" t="str">
        <f t="shared" si="0"/>
        <v/>
      </c>
      <c r="C15" s="7"/>
      <c r="D15" s="2"/>
      <c r="E15" s="2"/>
      <c r="F15" s="2"/>
      <c r="G15" s="2"/>
    </row>
    <row r="16" spans="1:7" x14ac:dyDescent="0.2">
      <c r="A16" s="5"/>
      <c r="B16" s="4" t="str">
        <f t="shared" si="0"/>
        <v/>
      </c>
      <c r="C16" s="7"/>
      <c r="D16" s="2"/>
      <c r="E16" s="2"/>
      <c r="F16" s="2"/>
      <c r="G16" s="2"/>
    </row>
    <row r="17" spans="1:7" x14ac:dyDescent="0.2">
      <c r="A17" s="5"/>
      <c r="B17" s="4" t="str">
        <f t="shared" si="0"/>
        <v/>
      </c>
      <c r="C17" s="7"/>
      <c r="D17" s="2"/>
      <c r="E17" s="2"/>
      <c r="F17" s="2"/>
      <c r="G17" s="2"/>
    </row>
    <row r="18" spans="1:7" x14ac:dyDescent="0.2">
      <c r="A18" s="5"/>
      <c r="B18" s="4" t="str">
        <f t="shared" si="0"/>
        <v/>
      </c>
      <c r="C18" s="7"/>
      <c r="D18" s="2"/>
      <c r="E18" s="2"/>
      <c r="F18" s="2"/>
      <c r="G18" s="2"/>
    </row>
    <row r="19" spans="1:7" x14ac:dyDescent="0.2">
      <c r="A19" s="5"/>
      <c r="B19" s="4" t="str">
        <f t="shared" si="0"/>
        <v/>
      </c>
      <c r="C19" s="7"/>
      <c r="D19" s="2"/>
      <c r="E19" s="2"/>
      <c r="F19" s="2"/>
      <c r="G19" s="2"/>
    </row>
    <row r="20" spans="1:7" x14ac:dyDescent="0.2">
      <c r="A20" s="5"/>
      <c r="B20" s="4" t="str">
        <f t="shared" si="0"/>
        <v/>
      </c>
      <c r="C20" s="7"/>
      <c r="D20" s="2"/>
      <c r="E20" s="2"/>
      <c r="F20" s="2"/>
      <c r="G20" s="2"/>
    </row>
    <row r="21" spans="1:7" x14ac:dyDescent="0.2">
      <c r="A21" s="5"/>
      <c r="B21" s="4" t="str">
        <f t="shared" si="0"/>
        <v/>
      </c>
      <c r="C21" s="7"/>
      <c r="D21" s="2"/>
      <c r="E21" s="2"/>
      <c r="F21" s="2"/>
      <c r="G21" s="2"/>
    </row>
    <row r="22" spans="1:7" x14ac:dyDescent="0.2">
      <c r="A22" s="5"/>
      <c r="B22" s="4" t="str">
        <f t="shared" si="0"/>
        <v/>
      </c>
      <c r="C22" s="7"/>
      <c r="D22" s="2"/>
      <c r="E22" s="2"/>
      <c r="F22" s="2"/>
      <c r="G22" s="2"/>
    </row>
    <row r="23" spans="1:7" x14ac:dyDescent="0.2">
      <c r="A23" s="5"/>
      <c r="B23" s="4" t="str">
        <f t="shared" si="0"/>
        <v/>
      </c>
      <c r="C23" s="7"/>
      <c r="D23" s="2"/>
      <c r="E23" s="2"/>
      <c r="F23" s="2"/>
      <c r="G23" s="2"/>
    </row>
    <row r="24" spans="1:7" x14ac:dyDescent="0.2">
      <c r="A24" s="5"/>
      <c r="B24" s="4" t="str">
        <f t="shared" si="0"/>
        <v/>
      </c>
      <c r="C24" s="7"/>
      <c r="D24" s="2"/>
      <c r="E24" s="2"/>
      <c r="F24" s="2"/>
      <c r="G24" s="2"/>
    </row>
    <row r="25" spans="1:7" x14ac:dyDescent="0.2">
      <c r="A25" s="5"/>
      <c r="B25" s="4" t="str">
        <f t="shared" si="0"/>
        <v/>
      </c>
      <c r="C25" s="7"/>
      <c r="D25" s="2"/>
      <c r="E25" s="2"/>
      <c r="F25" s="2"/>
      <c r="G25" s="2"/>
    </row>
    <row r="26" spans="1:7" x14ac:dyDescent="0.2">
      <c r="A26" s="5"/>
      <c r="B26" s="4" t="str">
        <f t="shared" si="0"/>
        <v/>
      </c>
      <c r="C26" s="7"/>
      <c r="D26" s="2"/>
      <c r="E26" s="2"/>
      <c r="F26" s="2"/>
      <c r="G26" s="2"/>
    </row>
    <row r="27" spans="1:7" x14ac:dyDescent="0.2">
      <c r="A27" s="5"/>
      <c r="B27" s="4" t="str">
        <f t="shared" si="0"/>
        <v/>
      </c>
      <c r="C27" s="7"/>
      <c r="D27" s="2"/>
      <c r="E27" s="2"/>
      <c r="F27" s="2"/>
      <c r="G27" s="2"/>
    </row>
    <row r="28" spans="1:7" x14ac:dyDescent="0.2">
      <c r="A28" s="5"/>
      <c r="B28" s="4" t="str">
        <f t="shared" si="0"/>
        <v/>
      </c>
      <c r="C28" s="7"/>
      <c r="D28" s="2"/>
      <c r="E28" s="2"/>
      <c r="F28" s="2"/>
      <c r="G28" s="2"/>
    </row>
    <row r="29" spans="1:7" x14ac:dyDescent="0.2">
      <c r="A29" s="5"/>
      <c r="B29" s="4" t="str">
        <f t="shared" si="0"/>
        <v/>
      </c>
      <c r="C29" s="7"/>
      <c r="D29" s="2"/>
      <c r="E29" s="2"/>
      <c r="F29" s="2"/>
      <c r="G29" s="2"/>
    </row>
    <row r="30" spans="1:7" x14ac:dyDescent="0.2">
      <c r="A30" s="5"/>
      <c r="B30" s="4" t="str">
        <f t="shared" si="0"/>
        <v/>
      </c>
      <c r="C30" s="7"/>
      <c r="D30" s="2"/>
      <c r="E30" s="2"/>
      <c r="F30" s="2"/>
      <c r="G30" s="2"/>
    </row>
    <row r="31" spans="1:7" x14ac:dyDescent="0.2">
      <c r="A31" s="5"/>
      <c r="B31" s="4" t="str">
        <f t="shared" si="0"/>
        <v/>
      </c>
      <c r="C31" s="7"/>
      <c r="D31" s="2"/>
      <c r="E31" s="2"/>
      <c r="F31" s="2"/>
      <c r="G31" s="2"/>
    </row>
    <row r="32" spans="1:7" x14ac:dyDescent="0.2">
      <c r="A32" s="5"/>
      <c r="B32" s="4" t="str">
        <f t="shared" si="0"/>
        <v/>
      </c>
      <c r="C32" s="7"/>
      <c r="D32" s="2"/>
      <c r="E32" s="2"/>
      <c r="F32" s="2"/>
      <c r="G32" s="2"/>
    </row>
    <row r="33" spans="1:7" x14ac:dyDescent="0.2">
      <c r="A33" s="5"/>
      <c r="B33" s="4" t="str">
        <f t="shared" si="0"/>
        <v/>
      </c>
      <c r="C33" s="7"/>
      <c r="D33" s="2"/>
      <c r="E33" s="2"/>
      <c r="F33" s="2"/>
      <c r="G33" s="2"/>
    </row>
    <row r="34" spans="1:7" x14ac:dyDescent="0.2">
      <c r="A34" s="5"/>
      <c r="B34" s="4" t="str">
        <f t="shared" si="0"/>
        <v/>
      </c>
      <c r="C34" s="7"/>
      <c r="D34" s="2"/>
      <c r="E34" s="2"/>
      <c r="F34" s="2"/>
      <c r="G34" s="2"/>
    </row>
    <row r="35" spans="1:7" x14ac:dyDescent="0.2">
      <c r="A35" s="5"/>
      <c r="B35" s="4" t="str">
        <f t="shared" si="0"/>
        <v/>
      </c>
      <c r="C35" s="7"/>
      <c r="D35" s="2"/>
      <c r="E35" s="2"/>
      <c r="F35" s="2"/>
      <c r="G35" s="2"/>
    </row>
    <row r="36" spans="1:7" x14ac:dyDescent="0.2">
      <c r="A36" s="5"/>
      <c r="B36" s="4" t="str">
        <f t="shared" si="0"/>
        <v/>
      </c>
      <c r="C36" s="7"/>
      <c r="D36" s="2"/>
      <c r="E36" s="2"/>
      <c r="F36" s="2"/>
      <c r="G36" s="2"/>
    </row>
    <row r="37" spans="1:7" x14ac:dyDescent="0.2">
      <c r="A37" s="5"/>
      <c r="B37" s="4" t="str">
        <f t="shared" ref="B37:B68" si="1">IF(A37="","",TEXT(A37,"ddd"))</f>
        <v/>
      </c>
      <c r="C37" s="7"/>
      <c r="D37" s="2"/>
      <c r="E37" s="2"/>
      <c r="F37" s="2"/>
      <c r="G37" s="2"/>
    </row>
    <row r="38" spans="1:7" x14ac:dyDescent="0.2">
      <c r="A38" s="5"/>
      <c r="B38" s="4" t="str">
        <f t="shared" si="1"/>
        <v/>
      </c>
      <c r="C38" s="7"/>
      <c r="D38" s="2"/>
      <c r="E38" s="2"/>
      <c r="F38" s="2"/>
      <c r="G38" s="2"/>
    </row>
    <row r="39" spans="1:7" x14ac:dyDescent="0.2">
      <c r="A39" s="5"/>
      <c r="B39" s="4" t="str">
        <f t="shared" si="1"/>
        <v/>
      </c>
      <c r="C39" s="7"/>
      <c r="D39" s="2"/>
      <c r="E39" s="2"/>
      <c r="F39" s="2"/>
      <c r="G39" s="2"/>
    </row>
    <row r="40" spans="1:7" x14ac:dyDescent="0.2">
      <c r="A40" s="5"/>
      <c r="B40" s="4" t="str">
        <f t="shared" si="1"/>
        <v/>
      </c>
      <c r="C40" s="7"/>
      <c r="D40" s="2"/>
      <c r="E40" s="2"/>
      <c r="F40" s="2"/>
      <c r="G40" s="2"/>
    </row>
    <row r="41" spans="1:7" x14ac:dyDescent="0.2">
      <c r="A41" s="5"/>
      <c r="B41" s="4" t="str">
        <f t="shared" si="1"/>
        <v/>
      </c>
      <c r="C41" s="7"/>
      <c r="D41" s="2"/>
      <c r="E41" s="2"/>
      <c r="F41" s="2"/>
      <c r="G41" s="2"/>
    </row>
    <row r="42" spans="1:7" x14ac:dyDescent="0.2">
      <c r="A42" s="5"/>
      <c r="B42" s="4" t="str">
        <f t="shared" si="1"/>
        <v/>
      </c>
      <c r="C42" s="7"/>
      <c r="D42" s="2"/>
      <c r="E42" s="2"/>
      <c r="F42" s="2"/>
      <c r="G42" s="2"/>
    </row>
    <row r="43" spans="1:7" x14ac:dyDescent="0.2">
      <c r="A43" s="5"/>
      <c r="B43" s="4" t="str">
        <f t="shared" si="1"/>
        <v/>
      </c>
      <c r="C43" s="7"/>
      <c r="D43" s="2"/>
      <c r="E43" s="2"/>
      <c r="F43" s="2"/>
      <c r="G43" s="2"/>
    </row>
    <row r="44" spans="1:7" x14ac:dyDescent="0.2">
      <c r="A44" s="5"/>
      <c r="B44" s="4" t="str">
        <f t="shared" si="1"/>
        <v/>
      </c>
      <c r="C44" s="7"/>
      <c r="D44" s="2"/>
      <c r="E44" s="2"/>
      <c r="F44" s="2"/>
      <c r="G44" s="2"/>
    </row>
    <row r="45" spans="1:7" x14ac:dyDescent="0.2">
      <c r="A45" s="5"/>
      <c r="B45" s="4" t="str">
        <f t="shared" si="1"/>
        <v/>
      </c>
      <c r="C45" s="7"/>
      <c r="D45" s="2"/>
      <c r="E45" s="2"/>
      <c r="F45" s="2"/>
      <c r="G45" s="2"/>
    </row>
    <row r="46" spans="1:7" x14ac:dyDescent="0.2">
      <c r="A46" s="5"/>
      <c r="B46" s="4" t="str">
        <f t="shared" si="1"/>
        <v/>
      </c>
      <c r="C46" s="7"/>
      <c r="D46" s="2"/>
      <c r="E46" s="2"/>
      <c r="F46" s="2"/>
      <c r="G46" s="2"/>
    </row>
    <row r="47" spans="1:7" x14ac:dyDescent="0.2">
      <c r="A47" s="5"/>
      <c r="B47" s="4" t="str">
        <f t="shared" si="1"/>
        <v/>
      </c>
      <c r="C47" s="7"/>
      <c r="D47" s="2"/>
      <c r="E47" s="2"/>
      <c r="F47" s="2"/>
      <c r="G47" s="2"/>
    </row>
    <row r="48" spans="1:7" x14ac:dyDescent="0.2">
      <c r="A48" s="5"/>
      <c r="B48" s="4" t="str">
        <f t="shared" si="1"/>
        <v/>
      </c>
      <c r="C48" s="7"/>
      <c r="D48" s="2"/>
      <c r="E48" s="2"/>
      <c r="F48" s="2"/>
      <c r="G48" s="2"/>
    </row>
    <row r="49" spans="1:7" x14ac:dyDescent="0.2">
      <c r="A49" s="5"/>
      <c r="B49" s="4" t="str">
        <f t="shared" si="1"/>
        <v/>
      </c>
      <c r="C49" s="7"/>
      <c r="D49" s="2"/>
      <c r="E49" s="2"/>
      <c r="F49" s="2"/>
      <c r="G49" s="2"/>
    </row>
    <row r="50" spans="1:7" x14ac:dyDescent="0.2">
      <c r="A50" s="5"/>
      <c r="B50" s="4" t="str">
        <f t="shared" si="1"/>
        <v/>
      </c>
      <c r="C50" s="7"/>
      <c r="D50" s="2"/>
      <c r="E50" s="2"/>
      <c r="F50" s="2"/>
      <c r="G50" s="2"/>
    </row>
    <row r="51" spans="1:7" x14ac:dyDescent="0.2">
      <c r="A51" s="5"/>
      <c r="B51" s="4" t="str">
        <f t="shared" si="1"/>
        <v/>
      </c>
      <c r="C51" s="7"/>
      <c r="D51" s="2"/>
      <c r="E51" s="2"/>
      <c r="F51" s="2"/>
      <c r="G51" s="2"/>
    </row>
    <row r="52" spans="1:7" x14ac:dyDescent="0.2">
      <c r="A52" s="5"/>
      <c r="B52" s="4" t="str">
        <f t="shared" si="1"/>
        <v/>
      </c>
      <c r="C52" s="7"/>
      <c r="D52" s="2"/>
      <c r="E52" s="2"/>
      <c r="F52" s="2"/>
      <c r="G52" s="2"/>
    </row>
    <row r="53" spans="1:7" x14ac:dyDescent="0.2">
      <c r="A53" s="5"/>
      <c r="B53" s="4" t="str">
        <f t="shared" si="1"/>
        <v/>
      </c>
      <c r="C53" s="7"/>
      <c r="D53" s="2"/>
      <c r="E53" s="2"/>
      <c r="F53" s="2"/>
      <c r="G53" s="2"/>
    </row>
    <row r="54" spans="1:7" x14ac:dyDescent="0.2">
      <c r="A54" s="5"/>
      <c r="B54" s="4" t="str">
        <f t="shared" si="1"/>
        <v/>
      </c>
      <c r="C54" s="7"/>
      <c r="D54" s="2"/>
      <c r="E54" s="2"/>
      <c r="F54" s="2"/>
      <c r="G54" s="2"/>
    </row>
    <row r="55" spans="1:7" x14ac:dyDescent="0.2">
      <c r="A55" s="5"/>
      <c r="B55" s="4" t="str">
        <f t="shared" si="1"/>
        <v/>
      </c>
      <c r="C55" s="7"/>
      <c r="D55" s="2"/>
      <c r="E55" s="2"/>
      <c r="F55" s="2"/>
      <c r="G55" s="2"/>
    </row>
    <row r="56" spans="1:7" x14ac:dyDescent="0.2">
      <c r="A56" s="5"/>
      <c r="B56" s="4" t="str">
        <f t="shared" si="1"/>
        <v/>
      </c>
      <c r="C56" s="7"/>
      <c r="D56" s="2"/>
      <c r="E56" s="2"/>
      <c r="F56" s="2"/>
      <c r="G56" s="2"/>
    </row>
    <row r="57" spans="1:7" x14ac:dyDescent="0.2">
      <c r="A57" s="5"/>
      <c r="B57" s="4" t="str">
        <f t="shared" si="1"/>
        <v/>
      </c>
      <c r="C57" s="7"/>
      <c r="D57" s="2"/>
      <c r="E57" s="2"/>
      <c r="F57" s="2"/>
      <c r="G57" s="2"/>
    </row>
    <row r="58" spans="1:7" x14ac:dyDescent="0.2">
      <c r="A58" s="5"/>
      <c r="B58" s="4" t="str">
        <f t="shared" si="1"/>
        <v/>
      </c>
      <c r="C58" s="7"/>
      <c r="D58" s="2"/>
      <c r="E58" s="2"/>
      <c r="F58" s="2"/>
      <c r="G58" s="2"/>
    </row>
    <row r="59" spans="1:7" x14ac:dyDescent="0.2">
      <c r="A59" s="5"/>
      <c r="B59" s="4" t="str">
        <f t="shared" si="1"/>
        <v/>
      </c>
      <c r="C59" s="7"/>
      <c r="D59" s="2"/>
      <c r="E59" s="2"/>
      <c r="F59" s="2"/>
      <c r="G59" s="2"/>
    </row>
    <row r="60" spans="1:7" x14ac:dyDescent="0.2">
      <c r="A60" s="5"/>
      <c r="B60" s="4" t="str">
        <f t="shared" si="1"/>
        <v/>
      </c>
      <c r="C60" s="7"/>
      <c r="D60" s="2"/>
      <c r="E60" s="2"/>
      <c r="F60" s="2"/>
      <c r="G60" s="2"/>
    </row>
    <row r="61" spans="1:7" x14ac:dyDescent="0.2">
      <c r="A61" s="5"/>
      <c r="B61" s="4" t="str">
        <f t="shared" si="1"/>
        <v/>
      </c>
      <c r="C61" s="7"/>
      <c r="D61" s="2"/>
      <c r="E61" s="2"/>
      <c r="F61" s="2"/>
      <c r="G61" s="2"/>
    </row>
    <row r="62" spans="1:7" x14ac:dyDescent="0.2">
      <c r="A62" s="5"/>
      <c r="B62" s="4" t="str">
        <f t="shared" si="1"/>
        <v/>
      </c>
      <c r="C62" s="7"/>
      <c r="D62" s="2"/>
      <c r="E62" s="2"/>
      <c r="F62" s="2"/>
      <c r="G62" s="2"/>
    </row>
    <row r="63" spans="1:7" x14ac:dyDescent="0.2">
      <c r="A63" s="5"/>
      <c r="B63" s="4" t="str">
        <f t="shared" si="1"/>
        <v/>
      </c>
      <c r="C63" s="7"/>
      <c r="D63" s="2"/>
      <c r="E63" s="2"/>
      <c r="F63" s="2"/>
      <c r="G63" s="2"/>
    </row>
    <row r="64" spans="1:7" x14ac:dyDescent="0.2">
      <c r="A64" s="5"/>
      <c r="B64" s="4" t="str">
        <f t="shared" si="1"/>
        <v/>
      </c>
      <c r="C64" s="7"/>
      <c r="D64" s="2"/>
      <c r="E64" s="2"/>
      <c r="F64" s="2"/>
      <c r="G64" s="2"/>
    </row>
    <row r="65" spans="1:7" x14ac:dyDescent="0.2">
      <c r="A65" s="5"/>
      <c r="B65" s="4" t="str">
        <f t="shared" si="1"/>
        <v/>
      </c>
      <c r="C65" s="7"/>
      <c r="D65" s="2"/>
      <c r="E65" s="2"/>
      <c r="F65" s="2"/>
      <c r="G65" s="2"/>
    </row>
    <row r="66" spans="1:7" x14ac:dyDescent="0.2">
      <c r="A66" s="5"/>
      <c r="B66" s="4" t="str">
        <f t="shared" si="1"/>
        <v/>
      </c>
      <c r="C66" s="7"/>
      <c r="D66" s="2"/>
      <c r="E66" s="2"/>
      <c r="F66" s="2"/>
      <c r="G66" s="2"/>
    </row>
    <row r="67" spans="1:7" x14ac:dyDescent="0.2">
      <c r="A67" s="5"/>
      <c r="B67" s="4" t="str">
        <f t="shared" si="1"/>
        <v/>
      </c>
      <c r="C67" s="7"/>
      <c r="D67" s="2"/>
      <c r="E67" s="2"/>
      <c r="F67" s="2"/>
      <c r="G67" s="2"/>
    </row>
    <row r="68" spans="1:7" x14ac:dyDescent="0.2">
      <c r="A68" s="5"/>
      <c r="B68" s="4" t="str">
        <f t="shared" si="1"/>
        <v/>
      </c>
      <c r="C68" s="7"/>
      <c r="D68" s="2"/>
      <c r="E68" s="2"/>
      <c r="F68" s="2"/>
      <c r="G68" s="2"/>
    </row>
    <row r="69" spans="1:7" x14ac:dyDescent="0.2">
      <c r="A69" s="5"/>
      <c r="B69" s="4" t="str">
        <f t="shared" ref="B69:B96" si="2">IF(A69="","",TEXT(A69,"ddd"))</f>
        <v/>
      </c>
      <c r="C69" s="7"/>
      <c r="D69" s="2"/>
      <c r="E69" s="2"/>
      <c r="F69" s="2"/>
      <c r="G69" s="2"/>
    </row>
    <row r="70" spans="1:7" x14ac:dyDescent="0.2">
      <c r="A70" s="5"/>
      <c r="B70" s="4" t="str">
        <f t="shared" si="2"/>
        <v/>
      </c>
      <c r="C70" s="7"/>
      <c r="D70" s="2"/>
      <c r="E70" s="2"/>
      <c r="F70" s="2"/>
      <c r="G70" s="2"/>
    </row>
    <row r="71" spans="1:7" x14ac:dyDescent="0.2">
      <c r="A71" s="5"/>
      <c r="B71" s="4" t="str">
        <f t="shared" si="2"/>
        <v/>
      </c>
      <c r="C71" s="7"/>
      <c r="D71" s="2"/>
      <c r="E71" s="2"/>
      <c r="F71" s="2"/>
      <c r="G71" s="2"/>
    </row>
    <row r="72" spans="1:7" x14ac:dyDescent="0.2">
      <c r="A72" s="5"/>
      <c r="B72" s="4" t="str">
        <f t="shared" si="2"/>
        <v/>
      </c>
      <c r="C72" s="7"/>
      <c r="D72" s="2"/>
      <c r="E72" s="2"/>
      <c r="F72" s="2"/>
      <c r="G72" s="2"/>
    </row>
    <row r="73" spans="1:7" x14ac:dyDescent="0.2">
      <c r="A73" s="5"/>
      <c r="B73" s="4" t="str">
        <f t="shared" si="2"/>
        <v/>
      </c>
      <c r="C73" s="7"/>
      <c r="D73" s="2"/>
      <c r="E73" s="2"/>
      <c r="F73" s="2"/>
      <c r="G73" s="2"/>
    </row>
    <row r="74" spans="1:7" x14ac:dyDescent="0.2">
      <c r="A74" s="5"/>
      <c r="B74" s="4" t="str">
        <f t="shared" si="2"/>
        <v/>
      </c>
      <c r="C74" s="7"/>
      <c r="D74" s="2"/>
      <c r="E74" s="2"/>
      <c r="F74" s="2"/>
      <c r="G74" s="2"/>
    </row>
    <row r="75" spans="1:7" x14ac:dyDescent="0.2">
      <c r="A75" s="5"/>
      <c r="B75" s="4" t="str">
        <f t="shared" si="2"/>
        <v/>
      </c>
      <c r="C75" s="7"/>
      <c r="D75" s="2"/>
      <c r="E75" s="2"/>
      <c r="F75" s="2"/>
      <c r="G75" s="2"/>
    </row>
    <row r="76" spans="1:7" x14ac:dyDescent="0.2">
      <c r="A76" s="5"/>
      <c r="B76" s="4" t="str">
        <f t="shared" si="2"/>
        <v/>
      </c>
      <c r="C76" s="7"/>
      <c r="D76" s="2"/>
      <c r="E76" s="2"/>
      <c r="F76" s="2"/>
      <c r="G76" s="2"/>
    </row>
    <row r="77" spans="1:7" x14ac:dyDescent="0.2">
      <c r="A77" s="5"/>
      <c r="B77" s="4" t="str">
        <f t="shared" si="2"/>
        <v/>
      </c>
      <c r="C77" s="7"/>
      <c r="D77" s="2"/>
      <c r="E77" s="2"/>
      <c r="F77" s="2"/>
      <c r="G77" s="2"/>
    </row>
    <row r="78" spans="1:7" x14ac:dyDescent="0.2">
      <c r="A78" s="5"/>
      <c r="B78" s="4" t="str">
        <f t="shared" si="2"/>
        <v/>
      </c>
      <c r="C78" s="7"/>
      <c r="D78" s="2"/>
      <c r="E78" s="2"/>
      <c r="F78" s="2"/>
      <c r="G78" s="2"/>
    </row>
    <row r="79" spans="1:7" x14ac:dyDescent="0.2">
      <c r="A79" s="5"/>
      <c r="B79" s="4" t="str">
        <f t="shared" si="2"/>
        <v/>
      </c>
      <c r="C79" s="7"/>
      <c r="D79" s="2"/>
      <c r="E79" s="2"/>
      <c r="F79" s="2"/>
      <c r="G79" s="2"/>
    </row>
    <row r="80" spans="1:7" x14ac:dyDescent="0.2">
      <c r="A80" s="5"/>
      <c r="B80" s="4" t="str">
        <f t="shared" si="2"/>
        <v/>
      </c>
      <c r="C80" s="7"/>
      <c r="D80" s="2"/>
      <c r="E80" s="2"/>
      <c r="F80" s="2"/>
      <c r="G80" s="2"/>
    </row>
    <row r="81" spans="1:7" x14ac:dyDescent="0.2">
      <c r="A81" s="5"/>
      <c r="B81" s="4" t="str">
        <f t="shared" si="2"/>
        <v/>
      </c>
      <c r="C81" s="7"/>
      <c r="D81" s="2"/>
      <c r="E81" s="2"/>
      <c r="F81" s="2"/>
      <c r="G81" s="2"/>
    </row>
    <row r="82" spans="1:7" x14ac:dyDescent="0.2">
      <c r="A82" s="5"/>
      <c r="B82" s="4" t="str">
        <f t="shared" si="2"/>
        <v/>
      </c>
      <c r="C82" s="7"/>
      <c r="D82" s="2"/>
      <c r="E82" s="2"/>
      <c r="F82" s="2"/>
      <c r="G82" s="2"/>
    </row>
    <row r="83" spans="1:7" x14ac:dyDescent="0.2">
      <c r="A83" s="5"/>
      <c r="B83" s="4" t="str">
        <f t="shared" si="2"/>
        <v/>
      </c>
      <c r="C83" s="7"/>
      <c r="D83" s="2"/>
      <c r="E83" s="2"/>
      <c r="F83" s="2"/>
      <c r="G83" s="2"/>
    </row>
    <row r="84" spans="1:7" x14ac:dyDescent="0.2">
      <c r="A84" s="5"/>
      <c r="B84" s="4" t="str">
        <f t="shared" si="2"/>
        <v/>
      </c>
      <c r="C84" s="7"/>
      <c r="D84" s="2"/>
      <c r="E84" s="2"/>
      <c r="F84" s="2"/>
      <c r="G84" s="2"/>
    </row>
    <row r="85" spans="1:7" x14ac:dyDescent="0.2">
      <c r="A85" s="5"/>
      <c r="B85" s="4" t="str">
        <f t="shared" si="2"/>
        <v/>
      </c>
      <c r="C85" s="7"/>
      <c r="D85" s="2"/>
      <c r="E85" s="2"/>
      <c r="F85" s="2"/>
      <c r="G85" s="2"/>
    </row>
    <row r="86" spans="1:7" x14ac:dyDescent="0.2">
      <c r="A86" s="5"/>
      <c r="B86" s="4" t="str">
        <f t="shared" si="2"/>
        <v/>
      </c>
      <c r="C86" s="7"/>
      <c r="D86" s="2"/>
      <c r="E86" s="2"/>
      <c r="F86" s="2"/>
      <c r="G86" s="2"/>
    </row>
    <row r="87" spans="1:7" x14ac:dyDescent="0.2">
      <c r="A87" s="5"/>
      <c r="B87" s="4" t="str">
        <f t="shared" si="2"/>
        <v/>
      </c>
      <c r="C87" s="7"/>
      <c r="D87" s="2"/>
      <c r="E87" s="2"/>
      <c r="F87" s="2"/>
      <c r="G87" s="2"/>
    </row>
    <row r="88" spans="1:7" x14ac:dyDescent="0.2">
      <c r="A88" s="5"/>
      <c r="B88" s="4" t="str">
        <f t="shared" si="2"/>
        <v/>
      </c>
      <c r="C88" s="7"/>
      <c r="D88" s="2"/>
      <c r="E88" s="2"/>
      <c r="F88" s="2"/>
      <c r="G88" s="2"/>
    </row>
    <row r="89" spans="1:7" x14ac:dyDescent="0.2">
      <c r="A89" s="5"/>
      <c r="B89" s="4" t="str">
        <f t="shared" si="2"/>
        <v/>
      </c>
      <c r="C89" s="7"/>
      <c r="D89" s="2"/>
      <c r="E89" s="2"/>
      <c r="F89" s="2"/>
      <c r="G89" s="2"/>
    </row>
    <row r="90" spans="1:7" x14ac:dyDescent="0.2">
      <c r="A90" s="5"/>
      <c r="B90" s="4" t="str">
        <f t="shared" si="2"/>
        <v/>
      </c>
      <c r="C90" s="7"/>
      <c r="D90" s="2"/>
      <c r="E90" s="2"/>
      <c r="F90" s="2"/>
      <c r="G90" s="2"/>
    </row>
    <row r="91" spans="1:7" x14ac:dyDescent="0.2">
      <c r="A91" s="5"/>
      <c r="B91" s="4" t="str">
        <f t="shared" si="2"/>
        <v/>
      </c>
      <c r="C91" s="7"/>
      <c r="D91" s="2"/>
      <c r="E91" s="2"/>
      <c r="F91" s="2"/>
      <c r="G91" s="2"/>
    </row>
    <row r="92" spans="1:7" x14ac:dyDescent="0.2">
      <c r="A92" s="5"/>
      <c r="B92" s="4" t="str">
        <f t="shared" si="2"/>
        <v/>
      </c>
      <c r="C92" s="7"/>
      <c r="D92" s="2"/>
      <c r="E92" s="2"/>
      <c r="F92" s="2"/>
      <c r="G92" s="2"/>
    </row>
    <row r="93" spans="1:7" x14ac:dyDescent="0.2">
      <c r="A93" s="5"/>
      <c r="B93" s="4" t="str">
        <f t="shared" si="2"/>
        <v/>
      </c>
      <c r="C93" s="7"/>
      <c r="D93" s="2"/>
      <c r="E93" s="2"/>
      <c r="F93" s="2"/>
      <c r="G93" s="2"/>
    </row>
    <row r="94" spans="1:7" x14ac:dyDescent="0.2">
      <c r="A94" s="5"/>
      <c r="B94" s="4" t="str">
        <f t="shared" si="2"/>
        <v/>
      </c>
      <c r="C94" s="7"/>
      <c r="D94" s="2"/>
      <c r="E94" s="2"/>
      <c r="F94" s="2"/>
      <c r="G94" s="2"/>
    </row>
    <row r="95" spans="1:7" x14ac:dyDescent="0.2">
      <c r="A95" s="5"/>
      <c r="B95" s="4" t="str">
        <f t="shared" si="2"/>
        <v/>
      </c>
      <c r="C95" s="7"/>
      <c r="D95" s="2"/>
      <c r="E95" s="2"/>
      <c r="F95" s="2"/>
      <c r="G95" s="2"/>
    </row>
    <row r="96" spans="1:7" x14ac:dyDescent="0.2">
      <c r="A96" s="5"/>
      <c r="B96" s="4" t="str">
        <f t="shared" si="2"/>
        <v/>
      </c>
      <c r="C96" s="7"/>
      <c r="D96" s="2"/>
      <c r="E96" s="2"/>
      <c r="F96" s="2"/>
      <c r="G96" s="2"/>
    </row>
  </sheetData>
  <autoFilter ref="A4:G96" xr:uid="{00000000-0009-0000-0000-000001000000}"/>
  <mergeCells count="2">
    <mergeCell ref="A1:G1"/>
    <mergeCell ref="A2:G2"/>
  </mergeCells>
  <dataValidations count="2">
    <dataValidation type="list" allowBlank="1" showInputMessage="1" showErrorMessage="1" sqref="F5:F96" xr:uid="{00000000-0002-0000-0100-000000000000}">
      <formula1>"H,A"</formula1>
    </dataValidation>
    <dataValidation type="list" allowBlank="1" showInputMessage="1" showErrorMessage="1" sqref="G5:G96" xr:uid="{00000000-0002-0000-0100-000001000000}">
      <formula1>"To Do,Booked,Offer,Rain Date,In Progress,Rebook,TBC,Played,Cancelled"</formula1>
    </dataValidation>
  </dataValidations>
  <pageMargins left="0.3" right="0.3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G204"/>
  <sheetViews>
    <sheetView showGridLines="0" workbookViewId="0">
      <pane ySplit="4" topLeftCell="A5" activePane="bottomLeft" state="frozen"/>
      <selection pane="bottomLeft" activeCell="G5" sqref="G5"/>
    </sheetView>
  </sheetViews>
  <sheetFormatPr baseColWidth="10" defaultColWidth="9" defaultRowHeight="14" x14ac:dyDescent="0.2"/>
  <cols>
    <col min="1" max="1" width="14" customWidth="1"/>
    <col min="2" max="3" width="28" customWidth="1"/>
    <col min="4" max="6" width="12" customWidth="1"/>
    <col min="7" max="7" width="14" customWidth="1"/>
  </cols>
  <sheetData>
    <row r="1" spans="1:7" ht="20" x14ac:dyDescent="0.2">
      <c r="A1" s="17" t="s">
        <v>24</v>
      </c>
      <c r="B1" s="17"/>
      <c r="C1" s="17"/>
      <c r="D1" s="17"/>
      <c r="E1" s="17"/>
      <c r="F1" s="17"/>
      <c r="G1" s="17"/>
    </row>
    <row r="2" spans="1:7" ht="32" customHeight="1" x14ac:dyDescent="0.2">
      <c r="A2" s="18" t="s">
        <v>25</v>
      </c>
      <c r="B2" s="18"/>
      <c r="C2" s="18"/>
      <c r="D2" s="18"/>
      <c r="E2" s="18"/>
      <c r="F2" s="18"/>
      <c r="G2" s="18"/>
    </row>
    <row r="4" spans="1:7" x14ac:dyDescent="0.2">
      <c r="A4" s="1" t="s">
        <v>17</v>
      </c>
      <c r="B4" s="1" t="s">
        <v>26</v>
      </c>
      <c r="C4" s="1" t="s">
        <v>27</v>
      </c>
      <c r="D4" s="1" t="s">
        <v>22</v>
      </c>
      <c r="E4" s="1" t="s">
        <v>28</v>
      </c>
      <c r="F4" s="1" t="s">
        <v>29</v>
      </c>
      <c r="G4" s="1" t="s">
        <v>30</v>
      </c>
    </row>
    <row r="5" spans="1:7" x14ac:dyDescent="0.2">
      <c r="A5" s="5">
        <f>'Fixtures Input'!A5</f>
        <v>46145</v>
      </c>
      <c r="B5" s="2" t="s">
        <v>64</v>
      </c>
      <c r="C5" s="2" t="s">
        <v>65</v>
      </c>
      <c r="D5" s="2" t="s">
        <v>63</v>
      </c>
      <c r="E5" s="2" t="s">
        <v>14</v>
      </c>
      <c r="F5" s="2" t="s">
        <v>14</v>
      </c>
      <c r="G5" s="8">
        <v>6</v>
      </c>
    </row>
    <row r="6" spans="1:7" x14ac:dyDescent="0.2">
      <c r="A6" s="5"/>
      <c r="B6" s="2"/>
      <c r="C6" s="2"/>
      <c r="D6" s="2"/>
      <c r="E6" s="2"/>
      <c r="F6" s="2"/>
      <c r="G6" s="8"/>
    </row>
    <row r="7" spans="1:7" x14ac:dyDescent="0.2">
      <c r="A7" s="5"/>
      <c r="B7" s="2"/>
      <c r="C7" s="2"/>
      <c r="D7" s="2"/>
      <c r="E7" s="2"/>
      <c r="F7" s="2"/>
      <c r="G7" s="8"/>
    </row>
    <row r="8" spans="1:7" x14ac:dyDescent="0.2">
      <c r="A8" s="5"/>
      <c r="B8" s="2"/>
      <c r="C8" s="2"/>
      <c r="D8" s="2"/>
      <c r="E8" s="2"/>
      <c r="F8" s="2"/>
      <c r="G8" s="8"/>
    </row>
    <row r="9" spans="1:7" x14ac:dyDescent="0.2">
      <c r="A9" s="5"/>
      <c r="B9" s="2"/>
      <c r="C9" s="2"/>
      <c r="D9" s="2"/>
      <c r="E9" s="2"/>
      <c r="F9" s="2"/>
      <c r="G9" s="8"/>
    </row>
    <row r="10" spans="1:7" x14ac:dyDescent="0.2">
      <c r="A10" s="5"/>
      <c r="B10" s="2"/>
      <c r="C10" s="2"/>
      <c r="D10" s="2"/>
      <c r="E10" s="2"/>
      <c r="F10" s="2"/>
      <c r="G10" s="8"/>
    </row>
    <row r="11" spans="1:7" x14ac:dyDescent="0.2">
      <c r="A11" s="5"/>
      <c r="B11" s="2"/>
      <c r="C11" s="2"/>
      <c r="D11" s="2"/>
      <c r="E11" s="2"/>
      <c r="F11" s="2"/>
      <c r="G11" s="8"/>
    </row>
    <row r="12" spans="1:7" x14ac:dyDescent="0.2">
      <c r="A12" s="5"/>
      <c r="B12" s="2"/>
      <c r="C12" s="2"/>
      <c r="D12" s="2"/>
      <c r="E12" s="2"/>
      <c r="F12" s="2"/>
      <c r="G12" s="8"/>
    </row>
    <row r="13" spans="1:7" x14ac:dyDescent="0.2">
      <c r="A13" s="5"/>
      <c r="B13" s="2"/>
      <c r="C13" s="2"/>
      <c r="D13" s="2"/>
      <c r="E13" s="2"/>
      <c r="F13" s="2"/>
      <c r="G13" s="8"/>
    </row>
    <row r="14" spans="1:7" x14ac:dyDescent="0.2">
      <c r="A14" s="5"/>
      <c r="B14" s="2"/>
      <c r="C14" s="2"/>
      <c r="D14" s="2"/>
      <c r="E14" s="2"/>
      <c r="F14" s="2"/>
      <c r="G14" s="8"/>
    </row>
    <row r="15" spans="1:7" x14ac:dyDescent="0.2">
      <c r="A15" s="5"/>
      <c r="B15" s="2"/>
      <c r="C15" s="2"/>
      <c r="D15" s="2"/>
      <c r="E15" s="2"/>
      <c r="F15" s="2"/>
      <c r="G15" s="8"/>
    </row>
    <row r="16" spans="1:7" x14ac:dyDescent="0.2">
      <c r="A16" s="5"/>
      <c r="B16" s="2"/>
      <c r="C16" s="2"/>
      <c r="D16" s="2"/>
      <c r="E16" s="2"/>
      <c r="F16" s="2"/>
      <c r="G16" s="8"/>
    </row>
    <row r="17" spans="1:7" x14ac:dyDescent="0.2">
      <c r="A17" s="5"/>
      <c r="B17" s="2"/>
      <c r="C17" s="2"/>
      <c r="D17" s="2"/>
      <c r="E17" s="2"/>
      <c r="F17" s="2"/>
      <c r="G17" s="8"/>
    </row>
    <row r="18" spans="1:7" x14ac:dyDescent="0.2">
      <c r="A18" s="5"/>
      <c r="B18" s="2"/>
      <c r="C18" s="2"/>
      <c r="D18" s="2"/>
      <c r="E18" s="2"/>
      <c r="F18" s="2"/>
      <c r="G18" s="8"/>
    </row>
    <row r="19" spans="1:7" x14ac:dyDescent="0.2">
      <c r="A19" s="5"/>
      <c r="B19" s="2"/>
      <c r="C19" s="2"/>
      <c r="D19" s="2"/>
      <c r="E19" s="2"/>
      <c r="F19" s="2"/>
      <c r="G19" s="8"/>
    </row>
    <row r="20" spans="1:7" x14ac:dyDescent="0.2">
      <c r="A20" s="5"/>
      <c r="B20" s="2"/>
      <c r="C20" s="2"/>
      <c r="D20" s="2"/>
      <c r="E20" s="2"/>
      <c r="F20" s="2"/>
      <c r="G20" s="8"/>
    </row>
    <row r="21" spans="1:7" x14ac:dyDescent="0.2">
      <c r="A21" s="5"/>
      <c r="B21" s="2"/>
      <c r="C21" s="2"/>
      <c r="D21" s="2"/>
      <c r="E21" s="2"/>
      <c r="F21" s="2"/>
      <c r="G21" s="8"/>
    </row>
    <row r="22" spans="1:7" x14ac:dyDescent="0.2">
      <c r="A22" s="5"/>
      <c r="B22" s="2"/>
      <c r="C22" s="2"/>
      <c r="D22" s="2"/>
      <c r="E22" s="2"/>
      <c r="F22" s="2"/>
      <c r="G22" s="8"/>
    </row>
    <row r="23" spans="1:7" x14ac:dyDescent="0.2">
      <c r="A23" s="5"/>
      <c r="B23" s="2"/>
      <c r="C23" s="2"/>
      <c r="D23" s="2"/>
      <c r="E23" s="2"/>
      <c r="F23" s="2"/>
      <c r="G23" s="8"/>
    </row>
    <row r="24" spans="1:7" x14ac:dyDescent="0.2">
      <c r="A24" s="5"/>
      <c r="B24" s="2"/>
      <c r="C24" s="2"/>
      <c r="D24" s="2"/>
      <c r="E24" s="2"/>
      <c r="F24" s="2"/>
      <c r="G24" s="8"/>
    </row>
    <row r="25" spans="1:7" x14ac:dyDescent="0.2">
      <c r="A25" s="5"/>
      <c r="B25" s="2"/>
      <c r="C25" s="2"/>
      <c r="D25" s="2"/>
      <c r="E25" s="2"/>
      <c r="F25" s="2"/>
      <c r="G25" s="8"/>
    </row>
    <row r="26" spans="1:7" x14ac:dyDescent="0.2">
      <c r="A26" s="5"/>
      <c r="B26" s="2"/>
      <c r="C26" s="2"/>
      <c r="D26" s="2"/>
      <c r="E26" s="2"/>
      <c r="F26" s="2"/>
      <c r="G26" s="8"/>
    </row>
    <row r="27" spans="1:7" x14ac:dyDescent="0.2">
      <c r="A27" s="5"/>
      <c r="B27" s="2"/>
      <c r="C27" s="2"/>
      <c r="D27" s="2"/>
      <c r="E27" s="2"/>
      <c r="F27" s="2"/>
      <c r="G27" s="8"/>
    </row>
    <row r="28" spans="1:7" x14ac:dyDescent="0.2">
      <c r="A28" s="5"/>
      <c r="B28" s="2"/>
      <c r="C28" s="2"/>
      <c r="D28" s="2"/>
      <c r="E28" s="2"/>
      <c r="F28" s="2"/>
      <c r="G28" s="8"/>
    </row>
    <row r="29" spans="1:7" x14ac:dyDescent="0.2">
      <c r="A29" s="5"/>
      <c r="B29" s="2"/>
      <c r="C29" s="2"/>
      <c r="D29" s="2"/>
      <c r="E29" s="2"/>
      <c r="F29" s="2"/>
      <c r="G29" s="8"/>
    </row>
    <row r="30" spans="1:7" x14ac:dyDescent="0.2">
      <c r="A30" s="5"/>
      <c r="B30" s="2"/>
      <c r="C30" s="2"/>
      <c r="D30" s="2"/>
      <c r="E30" s="2"/>
      <c r="F30" s="2"/>
      <c r="G30" s="8"/>
    </row>
    <row r="31" spans="1:7" x14ac:dyDescent="0.2">
      <c r="A31" s="5"/>
      <c r="B31" s="2"/>
      <c r="C31" s="2"/>
      <c r="D31" s="2"/>
      <c r="E31" s="2"/>
      <c r="F31" s="2"/>
      <c r="G31" s="8"/>
    </row>
    <row r="32" spans="1:7" x14ac:dyDescent="0.2">
      <c r="A32" s="5"/>
      <c r="B32" s="2"/>
      <c r="C32" s="2"/>
      <c r="D32" s="2"/>
      <c r="E32" s="2"/>
      <c r="F32" s="2"/>
      <c r="G32" s="8"/>
    </row>
    <row r="33" spans="1:7" x14ac:dyDescent="0.2">
      <c r="A33" s="5"/>
      <c r="B33" s="2"/>
      <c r="C33" s="2"/>
      <c r="D33" s="2"/>
      <c r="E33" s="2"/>
      <c r="F33" s="2"/>
      <c r="G33" s="8"/>
    </row>
    <row r="34" spans="1:7" x14ac:dyDescent="0.2">
      <c r="A34" s="5"/>
      <c r="B34" s="2"/>
      <c r="C34" s="2"/>
      <c r="D34" s="2"/>
      <c r="E34" s="2"/>
      <c r="F34" s="2"/>
      <c r="G34" s="8"/>
    </row>
    <row r="35" spans="1:7" x14ac:dyDescent="0.2">
      <c r="A35" s="5"/>
      <c r="B35" s="2"/>
      <c r="C35" s="2"/>
      <c r="D35" s="2"/>
      <c r="E35" s="2"/>
      <c r="F35" s="2"/>
      <c r="G35" s="8"/>
    </row>
    <row r="36" spans="1:7" x14ac:dyDescent="0.2">
      <c r="A36" s="5"/>
      <c r="B36" s="2"/>
      <c r="C36" s="2"/>
      <c r="D36" s="2"/>
      <c r="E36" s="2"/>
      <c r="F36" s="2"/>
      <c r="G36" s="8"/>
    </row>
    <row r="37" spans="1:7" x14ac:dyDescent="0.2">
      <c r="A37" s="5"/>
      <c r="B37" s="2"/>
      <c r="C37" s="2"/>
      <c r="D37" s="2"/>
      <c r="E37" s="2"/>
      <c r="F37" s="2"/>
      <c r="G37" s="8"/>
    </row>
    <row r="38" spans="1:7" x14ac:dyDescent="0.2">
      <c r="A38" s="5"/>
      <c r="B38" s="2"/>
      <c r="C38" s="2"/>
      <c r="D38" s="2"/>
      <c r="E38" s="2"/>
      <c r="F38" s="2"/>
      <c r="G38" s="8"/>
    </row>
    <row r="39" spans="1:7" x14ac:dyDescent="0.2">
      <c r="A39" s="5"/>
      <c r="B39" s="2"/>
      <c r="C39" s="2"/>
      <c r="D39" s="2"/>
      <c r="E39" s="2"/>
      <c r="F39" s="2"/>
      <c r="G39" s="8"/>
    </row>
    <row r="40" spans="1:7" x14ac:dyDescent="0.2">
      <c r="A40" s="5"/>
      <c r="B40" s="2"/>
      <c r="C40" s="2"/>
      <c r="D40" s="2"/>
      <c r="E40" s="2"/>
      <c r="F40" s="2"/>
      <c r="G40" s="8"/>
    </row>
    <row r="41" spans="1:7" x14ac:dyDescent="0.2">
      <c r="A41" s="5"/>
      <c r="B41" s="2"/>
      <c r="C41" s="2"/>
      <c r="D41" s="2"/>
      <c r="E41" s="2"/>
      <c r="F41" s="2"/>
      <c r="G41" s="8"/>
    </row>
    <row r="42" spans="1:7" x14ac:dyDescent="0.2">
      <c r="A42" s="5"/>
      <c r="B42" s="2"/>
      <c r="C42" s="2"/>
      <c r="D42" s="2"/>
      <c r="E42" s="2"/>
      <c r="F42" s="2"/>
      <c r="G42" s="8"/>
    </row>
    <row r="43" spans="1:7" x14ac:dyDescent="0.2">
      <c r="A43" s="5"/>
      <c r="B43" s="2"/>
      <c r="C43" s="2"/>
      <c r="D43" s="2"/>
      <c r="E43" s="2"/>
      <c r="F43" s="2"/>
      <c r="G43" s="8"/>
    </row>
    <row r="44" spans="1:7" x14ac:dyDescent="0.2">
      <c r="A44" s="5"/>
      <c r="B44" s="2"/>
      <c r="C44" s="2"/>
      <c r="D44" s="2"/>
      <c r="E44" s="2"/>
      <c r="F44" s="2"/>
      <c r="G44" s="8"/>
    </row>
    <row r="45" spans="1:7" x14ac:dyDescent="0.2">
      <c r="A45" s="5"/>
      <c r="B45" s="2"/>
      <c r="C45" s="2"/>
      <c r="D45" s="2"/>
      <c r="E45" s="2"/>
      <c r="F45" s="2"/>
      <c r="G45" s="8"/>
    </row>
    <row r="46" spans="1:7" x14ac:dyDescent="0.2">
      <c r="A46" s="5"/>
      <c r="B46" s="2"/>
      <c r="C46" s="2"/>
      <c r="D46" s="2"/>
      <c r="E46" s="2"/>
      <c r="F46" s="2"/>
      <c r="G46" s="8"/>
    </row>
    <row r="47" spans="1:7" x14ac:dyDescent="0.2">
      <c r="A47" s="5"/>
      <c r="B47" s="2"/>
      <c r="C47" s="2"/>
      <c r="D47" s="2"/>
      <c r="E47" s="2"/>
      <c r="F47" s="2"/>
      <c r="G47" s="8"/>
    </row>
    <row r="48" spans="1:7" x14ac:dyDescent="0.2">
      <c r="A48" s="5"/>
      <c r="B48" s="2"/>
      <c r="C48" s="2"/>
      <c r="D48" s="2"/>
      <c r="E48" s="2"/>
      <c r="F48" s="2"/>
      <c r="G48" s="8"/>
    </row>
    <row r="49" spans="1:7" x14ac:dyDescent="0.2">
      <c r="A49" s="5"/>
      <c r="B49" s="2"/>
      <c r="C49" s="2"/>
      <c r="D49" s="2"/>
      <c r="E49" s="2"/>
      <c r="F49" s="2"/>
      <c r="G49" s="8"/>
    </row>
    <row r="50" spans="1:7" x14ac:dyDescent="0.2">
      <c r="A50" s="5"/>
      <c r="B50" s="2"/>
      <c r="C50" s="2"/>
      <c r="D50" s="2"/>
      <c r="E50" s="2"/>
      <c r="F50" s="2"/>
      <c r="G50" s="8"/>
    </row>
    <row r="51" spans="1:7" x14ac:dyDescent="0.2">
      <c r="A51" s="5"/>
      <c r="B51" s="2"/>
      <c r="C51" s="2"/>
      <c r="D51" s="2"/>
      <c r="E51" s="2"/>
      <c r="F51" s="2"/>
      <c r="G51" s="8"/>
    </row>
    <row r="52" spans="1:7" x14ac:dyDescent="0.2">
      <c r="A52" s="5"/>
      <c r="B52" s="2"/>
      <c r="C52" s="2"/>
      <c r="D52" s="2"/>
      <c r="E52" s="2"/>
      <c r="F52" s="2"/>
      <c r="G52" s="8"/>
    </row>
    <row r="53" spans="1:7" x14ac:dyDescent="0.2">
      <c r="A53" s="5"/>
      <c r="B53" s="2"/>
      <c r="C53" s="2"/>
      <c r="D53" s="2"/>
      <c r="E53" s="2"/>
      <c r="F53" s="2"/>
      <c r="G53" s="8"/>
    </row>
    <row r="54" spans="1:7" x14ac:dyDescent="0.2">
      <c r="A54" s="5"/>
      <c r="B54" s="2"/>
      <c r="C54" s="2"/>
      <c r="D54" s="2"/>
      <c r="E54" s="2"/>
      <c r="F54" s="2"/>
      <c r="G54" s="8"/>
    </row>
    <row r="55" spans="1:7" x14ac:dyDescent="0.2">
      <c r="A55" s="5"/>
      <c r="B55" s="2"/>
      <c r="C55" s="2"/>
      <c r="D55" s="2"/>
      <c r="E55" s="2"/>
      <c r="F55" s="2"/>
      <c r="G55" s="8"/>
    </row>
    <row r="56" spans="1:7" x14ac:dyDescent="0.2">
      <c r="A56" s="5"/>
      <c r="B56" s="2"/>
      <c r="C56" s="2"/>
      <c r="D56" s="2"/>
      <c r="E56" s="2"/>
      <c r="F56" s="2"/>
      <c r="G56" s="8"/>
    </row>
    <row r="57" spans="1:7" x14ac:dyDescent="0.2">
      <c r="A57" s="5"/>
      <c r="B57" s="2"/>
      <c r="C57" s="2"/>
      <c r="D57" s="2"/>
      <c r="E57" s="2"/>
      <c r="F57" s="2"/>
      <c r="G57" s="8"/>
    </row>
    <row r="58" spans="1:7" x14ac:dyDescent="0.2">
      <c r="A58" s="5"/>
      <c r="B58" s="2"/>
      <c r="C58" s="2"/>
      <c r="D58" s="2"/>
      <c r="E58" s="2"/>
      <c r="F58" s="2"/>
      <c r="G58" s="8"/>
    </row>
    <row r="59" spans="1:7" x14ac:dyDescent="0.2">
      <c r="A59" s="5"/>
      <c r="B59" s="2"/>
      <c r="C59" s="2"/>
      <c r="D59" s="2"/>
      <c r="E59" s="2"/>
      <c r="F59" s="2"/>
      <c r="G59" s="8"/>
    </row>
    <row r="60" spans="1:7" x14ac:dyDescent="0.2">
      <c r="A60" s="5"/>
      <c r="B60" s="2"/>
      <c r="C60" s="2"/>
      <c r="D60" s="2"/>
      <c r="E60" s="2"/>
      <c r="F60" s="2"/>
      <c r="G60" s="8"/>
    </row>
    <row r="61" spans="1:7" x14ac:dyDescent="0.2">
      <c r="A61" s="5"/>
      <c r="B61" s="2"/>
      <c r="C61" s="2"/>
      <c r="D61" s="2"/>
      <c r="E61" s="2"/>
      <c r="F61" s="2"/>
      <c r="G61" s="8"/>
    </row>
    <row r="62" spans="1:7" x14ac:dyDescent="0.2">
      <c r="A62" s="5"/>
      <c r="B62" s="2"/>
      <c r="C62" s="2"/>
      <c r="D62" s="2"/>
      <c r="E62" s="2"/>
      <c r="F62" s="2"/>
      <c r="G62" s="8"/>
    </row>
    <row r="63" spans="1:7" x14ac:dyDescent="0.2">
      <c r="A63" s="5"/>
      <c r="B63" s="2"/>
      <c r="C63" s="2"/>
      <c r="D63" s="2"/>
      <c r="E63" s="2"/>
      <c r="F63" s="2"/>
      <c r="G63" s="8"/>
    </row>
    <row r="64" spans="1:7" x14ac:dyDescent="0.2">
      <c r="A64" s="5"/>
      <c r="B64" s="2"/>
      <c r="C64" s="2"/>
      <c r="D64" s="2"/>
      <c r="E64" s="2"/>
      <c r="F64" s="2"/>
      <c r="G64" s="8"/>
    </row>
    <row r="65" spans="1:7" x14ac:dyDescent="0.2">
      <c r="A65" s="5"/>
      <c r="B65" s="2"/>
      <c r="C65" s="2"/>
      <c r="D65" s="2"/>
      <c r="E65" s="2"/>
      <c r="F65" s="2"/>
      <c r="G65" s="8"/>
    </row>
    <row r="66" spans="1:7" x14ac:dyDescent="0.2">
      <c r="A66" s="5"/>
      <c r="B66" s="2"/>
      <c r="C66" s="2"/>
      <c r="D66" s="2"/>
      <c r="E66" s="2"/>
      <c r="F66" s="2"/>
      <c r="G66" s="8"/>
    </row>
    <row r="67" spans="1:7" x14ac:dyDescent="0.2">
      <c r="A67" s="5"/>
      <c r="B67" s="2"/>
      <c r="C67" s="2"/>
      <c r="D67" s="2"/>
      <c r="E67" s="2"/>
      <c r="F67" s="2"/>
      <c r="G67" s="8"/>
    </row>
    <row r="68" spans="1:7" x14ac:dyDescent="0.2">
      <c r="A68" s="5"/>
      <c r="B68" s="2"/>
      <c r="C68" s="2"/>
      <c r="D68" s="2"/>
      <c r="E68" s="2"/>
      <c r="F68" s="2"/>
      <c r="G68" s="8"/>
    </row>
    <row r="69" spans="1:7" x14ac:dyDescent="0.2">
      <c r="A69" s="5"/>
      <c r="B69" s="2"/>
      <c r="C69" s="2"/>
      <c r="D69" s="2"/>
      <c r="E69" s="2"/>
      <c r="F69" s="2"/>
      <c r="G69" s="8"/>
    </row>
    <row r="70" spans="1:7" x14ac:dyDescent="0.2">
      <c r="A70" s="5"/>
      <c r="B70" s="2"/>
      <c r="C70" s="2"/>
      <c r="D70" s="2"/>
      <c r="E70" s="2"/>
      <c r="F70" s="2"/>
      <c r="G70" s="8"/>
    </row>
    <row r="71" spans="1:7" x14ac:dyDescent="0.2">
      <c r="A71" s="5"/>
      <c r="B71" s="2"/>
      <c r="C71" s="2"/>
      <c r="D71" s="2"/>
      <c r="E71" s="2"/>
      <c r="F71" s="2"/>
      <c r="G71" s="8"/>
    </row>
    <row r="72" spans="1:7" x14ac:dyDescent="0.2">
      <c r="A72" s="5"/>
      <c r="B72" s="2"/>
      <c r="C72" s="2"/>
      <c r="D72" s="2"/>
      <c r="E72" s="2"/>
      <c r="F72" s="2"/>
      <c r="G72" s="8"/>
    </row>
    <row r="73" spans="1:7" x14ac:dyDescent="0.2">
      <c r="A73" s="5"/>
      <c r="B73" s="2"/>
      <c r="C73" s="2"/>
      <c r="D73" s="2"/>
      <c r="E73" s="2"/>
      <c r="F73" s="2"/>
      <c r="G73" s="8"/>
    </row>
    <row r="74" spans="1:7" x14ac:dyDescent="0.2">
      <c r="A74" s="5"/>
      <c r="B74" s="2"/>
      <c r="C74" s="2"/>
      <c r="D74" s="2"/>
      <c r="E74" s="2"/>
      <c r="F74" s="2"/>
      <c r="G74" s="8"/>
    </row>
    <row r="75" spans="1:7" x14ac:dyDescent="0.2">
      <c r="A75" s="5"/>
      <c r="B75" s="2"/>
      <c r="C75" s="2"/>
      <c r="D75" s="2"/>
      <c r="E75" s="2"/>
      <c r="F75" s="2"/>
      <c r="G75" s="8"/>
    </row>
    <row r="76" spans="1:7" x14ac:dyDescent="0.2">
      <c r="A76" s="5"/>
      <c r="B76" s="2"/>
      <c r="C76" s="2"/>
      <c r="D76" s="2"/>
      <c r="E76" s="2"/>
      <c r="F76" s="2"/>
      <c r="G76" s="8"/>
    </row>
    <row r="77" spans="1:7" x14ac:dyDescent="0.2">
      <c r="A77" s="5"/>
      <c r="B77" s="2"/>
      <c r="C77" s="2"/>
      <c r="D77" s="2"/>
      <c r="E77" s="2"/>
      <c r="F77" s="2"/>
      <c r="G77" s="8"/>
    </row>
    <row r="78" spans="1:7" x14ac:dyDescent="0.2">
      <c r="A78" s="5"/>
      <c r="B78" s="2"/>
      <c r="C78" s="2"/>
      <c r="D78" s="2"/>
      <c r="E78" s="2"/>
      <c r="F78" s="2"/>
      <c r="G78" s="8"/>
    </row>
    <row r="79" spans="1:7" x14ac:dyDescent="0.2">
      <c r="A79" s="5"/>
      <c r="B79" s="2"/>
      <c r="C79" s="2"/>
      <c r="D79" s="2"/>
      <c r="E79" s="2"/>
      <c r="F79" s="2"/>
      <c r="G79" s="8"/>
    </row>
    <row r="80" spans="1:7" x14ac:dyDescent="0.2">
      <c r="A80" s="5"/>
      <c r="B80" s="2"/>
      <c r="C80" s="2"/>
      <c r="D80" s="2"/>
      <c r="E80" s="2"/>
      <c r="F80" s="2"/>
      <c r="G80" s="8"/>
    </row>
    <row r="81" spans="1:7" x14ac:dyDescent="0.2">
      <c r="A81" s="5"/>
      <c r="B81" s="2"/>
      <c r="C81" s="2"/>
      <c r="D81" s="2"/>
      <c r="E81" s="2"/>
      <c r="F81" s="2"/>
      <c r="G81" s="8"/>
    </row>
    <row r="82" spans="1:7" x14ac:dyDescent="0.2">
      <c r="A82" s="5"/>
      <c r="B82" s="2"/>
      <c r="C82" s="2"/>
      <c r="D82" s="2"/>
      <c r="E82" s="2"/>
      <c r="F82" s="2"/>
      <c r="G82" s="8"/>
    </row>
    <row r="83" spans="1:7" x14ac:dyDescent="0.2">
      <c r="A83" s="5"/>
      <c r="B83" s="2"/>
      <c r="C83" s="2"/>
      <c r="D83" s="2"/>
      <c r="E83" s="2"/>
      <c r="F83" s="2"/>
      <c r="G83" s="8"/>
    </row>
    <row r="84" spans="1:7" x14ac:dyDescent="0.2">
      <c r="A84" s="5"/>
      <c r="B84" s="2"/>
      <c r="C84" s="2"/>
      <c r="D84" s="2"/>
      <c r="E84" s="2"/>
      <c r="F84" s="2"/>
      <c r="G84" s="8"/>
    </row>
    <row r="85" spans="1:7" x14ac:dyDescent="0.2">
      <c r="A85" s="5"/>
      <c r="B85" s="2"/>
      <c r="C85" s="2"/>
      <c r="D85" s="2"/>
      <c r="E85" s="2"/>
      <c r="F85" s="2"/>
      <c r="G85" s="8"/>
    </row>
    <row r="86" spans="1:7" x14ac:dyDescent="0.2">
      <c r="A86" s="5"/>
      <c r="B86" s="2"/>
      <c r="C86" s="2"/>
      <c r="D86" s="2"/>
      <c r="E86" s="2"/>
      <c r="F86" s="2"/>
      <c r="G86" s="8"/>
    </row>
    <row r="87" spans="1:7" x14ac:dyDescent="0.2">
      <c r="A87" s="5"/>
      <c r="B87" s="2"/>
      <c r="C87" s="2"/>
      <c r="D87" s="2"/>
      <c r="E87" s="2"/>
      <c r="F87" s="2"/>
      <c r="G87" s="8"/>
    </row>
    <row r="88" spans="1:7" x14ac:dyDescent="0.2">
      <c r="A88" s="5"/>
      <c r="B88" s="2"/>
      <c r="C88" s="2"/>
      <c r="D88" s="2"/>
      <c r="E88" s="2"/>
      <c r="F88" s="2"/>
      <c r="G88" s="8"/>
    </row>
    <row r="89" spans="1:7" x14ac:dyDescent="0.2">
      <c r="A89" s="5"/>
      <c r="B89" s="2"/>
      <c r="C89" s="2"/>
      <c r="D89" s="2"/>
      <c r="E89" s="2"/>
      <c r="F89" s="2"/>
      <c r="G89" s="8"/>
    </row>
    <row r="90" spans="1:7" x14ac:dyDescent="0.2">
      <c r="A90" s="5"/>
      <c r="B90" s="2"/>
      <c r="C90" s="2"/>
      <c r="D90" s="2"/>
      <c r="E90" s="2"/>
      <c r="F90" s="2"/>
      <c r="G90" s="8"/>
    </row>
    <row r="91" spans="1:7" x14ac:dyDescent="0.2">
      <c r="A91" s="5"/>
      <c r="B91" s="2"/>
      <c r="C91" s="2"/>
      <c r="D91" s="2"/>
      <c r="E91" s="2"/>
      <c r="F91" s="2"/>
      <c r="G91" s="8"/>
    </row>
    <row r="92" spans="1:7" x14ac:dyDescent="0.2">
      <c r="A92" s="5"/>
      <c r="B92" s="2"/>
      <c r="C92" s="2"/>
      <c r="D92" s="2"/>
      <c r="E92" s="2"/>
      <c r="F92" s="2"/>
      <c r="G92" s="8"/>
    </row>
    <row r="93" spans="1:7" x14ac:dyDescent="0.2">
      <c r="A93" s="5"/>
      <c r="B93" s="2"/>
      <c r="C93" s="2"/>
      <c r="D93" s="2"/>
      <c r="E93" s="2"/>
      <c r="F93" s="2"/>
      <c r="G93" s="8"/>
    </row>
    <row r="94" spans="1:7" x14ac:dyDescent="0.2">
      <c r="A94" s="5"/>
      <c r="B94" s="2"/>
      <c r="C94" s="2"/>
      <c r="D94" s="2"/>
      <c r="E94" s="2"/>
      <c r="F94" s="2"/>
      <c r="G94" s="8"/>
    </row>
    <row r="95" spans="1:7" x14ac:dyDescent="0.2">
      <c r="A95" s="5"/>
      <c r="B95" s="2"/>
      <c r="C95" s="2"/>
      <c r="D95" s="2"/>
      <c r="E95" s="2"/>
      <c r="F95" s="2"/>
      <c r="G95" s="8"/>
    </row>
    <row r="96" spans="1:7" x14ac:dyDescent="0.2">
      <c r="A96" s="5"/>
      <c r="B96" s="2"/>
      <c r="C96" s="2"/>
      <c r="D96" s="2"/>
      <c r="E96" s="2"/>
      <c r="F96" s="2"/>
      <c r="G96" s="8"/>
    </row>
    <row r="97" spans="1:7" x14ac:dyDescent="0.2">
      <c r="A97" s="5"/>
      <c r="B97" s="2"/>
      <c r="C97" s="2"/>
      <c r="D97" s="2"/>
      <c r="E97" s="2"/>
      <c r="F97" s="2"/>
      <c r="G97" s="8"/>
    </row>
    <row r="98" spans="1:7" x14ac:dyDescent="0.2">
      <c r="A98" s="5"/>
      <c r="B98" s="2"/>
      <c r="C98" s="2"/>
      <c r="D98" s="2"/>
      <c r="E98" s="2"/>
      <c r="F98" s="2"/>
      <c r="G98" s="8"/>
    </row>
    <row r="99" spans="1:7" x14ac:dyDescent="0.2">
      <c r="A99" s="5"/>
      <c r="B99" s="2"/>
      <c r="C99" s="2"/>
      <c r="D99" s="2"/>
      <c r="E99" s="2"/>
      <c r="F99" s="2"/>
      <c r="G99" s="8"/>
    </row>
    <row r="100" spans="1:7" x14ac:dyDescent="0.2">
      <c r="A100" s="5"/>
      <c r="B100" s="2"/>
      <c r="C100" s="2"/>
      <c r="D100" s="2"/>
      <c r="E100" s="2"/>
      <c r="F100" s="2"/>
      <c r="G100" s="8"/>
    </row>
    <row r="101" spans="1:7" x14ac:dyDescent="0.2">
      <c r="A101" s="5"/>
      <c r="B101" s="2"/>
      <c r="C101" s="2"/>
      <c r="D101" s="2"/>
      <c r="E101" s="2"/>
      <c r="F101" s="2"/>
      <c r="G101" s="8"/>
    </row>
    <row r="102" spans="1:7" x14ac:dyDescent="0.2">
      <c r="A102" s="5"/>
      <c r="B102" s="2"/>
      <c r="C102" s="2"/>
      <c r="D102" s="2"/>
      <c r="E102" s="2"/>
      <c r="F102" s="2"/>
      <c r="G102" s="8"/>
    </row>
    <row r="103" spans="1:7" x14ac:dyDescent="0.2">
      <c r="A103" s="5"/>
      <c r="B103" s="2"/>
      <c r="C103" s="2"/>
      <c r="D103" s="2"/>
      <c r="E103" s="2"/>
      <c r="F103" s="2"/>
      <c r="G103" s="8"/>
    </row>
    <row r="104" spans="1:7" x14ac:dyDescent="0.2">
      <c r="A104" s="5"/>
      <c r="B104" s="2"/>
      <c r="C104" s="2"/>
      <c r="D104" s="2"/>
      <c r="E104" s="2"/>
      <c r="F104" s="2"/>
      <c r="G104" s="8"/>
    </row>
    <row r="105" spans="1:7" x14ac:dyDescent="0.2">
      <c r="A105" s="5"/>
      <c r="B105" s="2"/>
      <c r="C105" s="2"/>
      <c r="D105" s="2"/>
      <c r="E105" s="2"/>
      <c r="F105" s="2"/>
      <c r="G105" s="8"/>
    </row>
    <row r="106" spans="1:7" x14ac:dyDescent="0.2">
      <c r="A106" s="5"/>
      <c r="B106" s="2"/>
      <c r="C106" s="2"/>
      <c r="D106" s="2"/>
      <c r="E106" s="2"/>
      <c r="F106" s="2"/>
      <c r="G106" s="8"/>
    </row>
    <row r="107" spans="1:7" x14ac:dyDescent="0.2">
      <c r="A107" s="5"/>
      <c r="B107" s="2"/>
      <c r="C107" s="2"/>
      <c r="D107" s="2"/>
      <c r="E107" s="2"/>
      <c r="F107" s="2"/>
      <c r="G107" s="8"/>
    </row>
    <row r="108" spans="1:7" x14ac:dyDescent="0.2">
      <c r="A108" s="5"/>
      <c r="B108" s="2"/>
      <c r="C108" s="2"/>
      <c r="D108" s="2"/>
      <c r="E108" s="2"/>
      <c r="F108" s="2"/>
      <c r="G108" s="8"/>
    </row>
    <row r="109" spans="1:7" x14ac:dyDescent="0.2">
      <c r="A109" s="5"/>
      <c r="B109" s="2"/>
      <c r="C109" s="2"/>
      <c r="D109" s="2"/>
      <c r="E109" s="2"/>
      <c r="F109" s="2"/>
      <c r="G109" s="8"/>
    </row>
    <row r="110" spans="1:7" x14ac:dyDescent="0.2">
      <c r="A110" s="5"/>
      <c r="B110" s="2"/>
      <c r="C110" s="2"/>
      <c r="D110" s="2"/>
      <c r="E110" s="2"/>
      <c r="F110" s="2"/>
      <c r="G110" s="8"/>
    </row>
    <row r="111" spans="1:7" x14ac:dyDescent="0.2">
      <c r="A111" s="5"/>
      <c r="B111" s="2"/>
      <c r="C111" s="2"/>
      <c r="D111" s="2"/>
      <c r="E111" s="2"/>
      <c r="F111" s="2"/>
      <c r="G111" s="8"/>
    </row>
    <row r="112" spans="1:7" x14ac:dyDescent="0.2">
      <c r="A112" s="5"/>
      <c r="B112" s="2"/>
      <c r="C112" s="2"/>
      <c r="D112" s="2"/>
      <c r="E112" s="2"/>
      <c r="F112" s="2"/>
      <c r="G112" s="8"/>
    </row>
    <row r="113" spans="1:7" x14ac:dyDescent="0.2">
      <c r="A113" s="5"/>
      <c r="B113" s="2"/>
      <c r="C113" s="2"/>
      <c r="D113" s="2"/>
      <c r="E113" s="2"/>
      <c r="F113" s="2"/>
      <c r="G113" s="8"/>
    </row>
    <row r="114" spans="1:7" x14ac:dyDescent="0.2">
      <c r="A114" s="5"/>
      <c r="B114" s="2"/>
      <c r="C114" s="2"/>
      <c r="D114" s="2"/>
      <c r="E114" s="2"/>
      <c r="F114" s="2"/>
      <c r="G114" s="8"/>
    </row>
    <row r="115" spans="1:7" x14ac:dyDescent="0.2">
      <c r="A115" s="5"/>
      <c r="B115" s="2"/>
      <c r="C115" s="2"/>
      <c r="D115" s="2"/>
      <c r="E115" s="2"/>
      <c r="F115" s="2"/>
      <c r="G115" s="8"/>
    </row>
    <row r="116" spans="1:7" x14ac:dyDescent="0.2">
      <c r="A116" s="5"/>
      <c r="B116" s="2"/>
      <c r="C116" s="2"/>
      <c r="D116" s="2"/>
      <c r="E116" s="2"/>
      <c r="F116" s="2"/>
      <c r="G116" s="8"/>
    </row>
    <row r="117" spans="1:7" x14ac:dyDescent="0.2">
      <c r="A117" s="5"/>
      <c r="B117" s="2"/>
      <c r="C117" s="2"/>
      <c r="D117" s="2"/>
      <c r="E117" s="2"/>
      <c r="F117" s="2"/>
      <c r="G117" s="8"/>
    </row>
    <row r="118" spans="1:7" x14ac:dyDescent="0.2">
      <c r="A118" s="5"/>
      <c r="B118" s="2"/>
      <c r="C118" s="2"/>
      <c r="D118" s="2"/>
      <c r="E118" s="2"/>
      <c r="F118" s="2"/>
      <c r="G118" s="8"/>
    </row>
    <row r="119" spans="1:7" x14ac:dyDescent="0.2">
      <c r="A119" s="5"/>
      <c r="B119" s="2"/>
      <c r="C119" s="2"/>
      <c r="D119" s="2"/>
      <c r="E119" s="2"/>
      <c r="F119" s="2"/>
      <c r="G119" s="8"/>
    </row>
    <row r="120" spans="1:7" x14ac:dyDescent="0.2">
      <c r="A120" s="5"/>
      <c r="B120" s="2"/>
      <c r="C120" s="2"/>
      <c r="D120" s="2"/>
      <c r="E120" s="2"/>
      <c r="F120" s="2"/>
      <c r="G120" s="8"/>
    </row>
    <row r="121" spans="1:7" x14ac:dyDescent="0.2">
      <c r="A121" s="5"/>
      <c r="B121" s="2"/>
      <c r="C121" s="2"/>
      <c r="D121" s="2"/>
      <c r="E121" s="2"/>
      <c r="F121" s="2"/>
      <c r="G121" s="8"/>
    </row>
    <row r="122" spans="1:7" x14ac:dyDescent="0.2">
      <c r="A122" s="5"/>
      <c r="B122" s="2"/>
      <c r="C122" s="2"/>
      <c r="D122" s="2"/>
      <c r="E122" s="2"/>
      <c r="F122" s="2"/>
      <c r="G122" s="8"/>
    </row>
    <row r="123" spans="1:7" x14ac:dyDescent="0.2">
      <c r="A123" s="5"/>
      <c r="B123" s="2"/>
      <c r="C123" s="2"/>
      <c r="D123" s="2"/>
      <c r="E123" s="2"/>
      <c r="F123" s="2"/>
      <c r="G123" s="8"/>
    </row>
    <row r="124" spans="1:7" x14ac:dyDescent="0.2">
      <c r="A124" s="5"/>
      <c r="B124" s="2"/>
      <c r="C124" s="2"/>
      <c r="D124" s="2"/>
      <c r="E124" s="2"/>
      <c r="F124" s="2"/>
      <c r="G124" s="8"/>
    </row>
    <row r="125" spans="1:7" x14ac:dyDescent="0.2">
      <c r="A125" s="5"/>
      <c r="B125" s="2"/>
      <c r="C125" s="2"/>
      <c r="D125" s="2"/>
      <c r="E125" s="2"/>
      <c r="F125" s="2"/>
      <c r="G125" s="8"/>
    </row>
    <row r="126" spans="1:7" x14ac:dyDescent="0.2">
      <c r="A126" s="5"/>
      <c r="B126" s="2"/>
      <c r="C126" s="2"/>
      <c r="D126" s="2"/>
      <c r="E126" s="2"/>
      <c r="F126" s="2"/>
      <c r="G126" s="8"/>
    </row>
    <row r="127" spans="1:7" x14ac:dyDescent="0.2">
      <c r="A127" s="5"/>
      <c r="B127" s="2"/>
      <c r="C127" s="2"/>
      <c r="D127" s="2"/>
      <c r="E127" s="2"/>
      <c r="F127" s="2"/>
      <c r="G127" s="8"/>
    </row>
    <row r="128" spans="1:7" x14ac:dyDescent="0.2">
      <c r="A128" s="5"/>
      <c r="B128" s="2"/>
      <c r="C128" s="2"/>
      <c r="D128" s="2"/>
      <c r="E128" s="2"/>
      <c r="F128" s="2"/>
      <c r="G128" s="8"/>
    </row>
    <row r="129" spans="1:7" x14ac:dyDescent="0.2">
      <c r="A129" s="5"/>
      <c r="B129" s="2"/>
      <c r="C129" s="2"/>
      <c r="D129" s="2"/>
      <c r="E129" s="2"/>
      <c r="F129" s="2"/>
      <c r="G129" s="8"/>
    </row>
    <row r="130" spans="1:7" x14ac:dyDescent="0.2">
      <c r="A130" s="5"/>
      <c r="B130" s="2"/>
      <c r="C130" s="2"/>
      <c r="D130" s="2"/>
      <c r="E130" s="2"/>
      <c r="F130" s="2"/>
      <c r="G130" s="8"/>
    </row>
    <row r="131" spans="1:7" x14ac:dyDescent="0.2">
      <c r="A131" s="5"/>
      <c r="B131" s="2"/>
      <c r="C131" s="2"/>
      <c r="D131" s="2"/>
      <c r="E131" s="2"/>
      <c r="F131" s="2"/>
      <c r="G131" s="8"/>
    </row>
    <row r="132" spans="1:7" x14ac:dyDescent="0.2">
      <c r="A132" s="5"/>
      <c r="B132" s="2"/>
      <c r="C132" s="2"/>
      <c r="D132" s="2"/>
      <c r="E132" s="2"/>
      <c r="F132" s="2"/>
      <c r="G132" s="8"/>
    </row>
    <row r="133" spans="1:7" x14ac:dyDescent="0.2">
      <c r="A133" s="5"/>
      <c r="B133" s="2"/>
      <c r="C133" s="2"/>
      <c r="D133" s="2"/>
      <c r="E133" s="2"/>
      <c r="F133" s="2"/>
      <c r="G133" s="8"/>
    </row>
    <row r="134" spans="1:7" x14ac:dyDescent="0.2">
      <c r="A134" s="5"/>
      <c r="B134" s="2"/>
      <c r="C134" s="2"/>
      <c r="D134" s="2"/>
      <c r="E134" s="2"/>
      <c r="F134" s="2"/>
      <c r="G134" s="8"/>
    </row>
    <row r="135" spans="1:7" x14ac:dyDescent="0.2">
      <c r="A135" s="5"/>
      <c r="B135" s="2"/>
      <c r="C135" s="2"/>
      <c r="D135" s="2"/>
      <c r="E135" s="2"/>
      <c r="F135" s="2"/>
      <c r="G135" s="8"/>
    </row>
    <row r="136" spans="1:7" x14ac:dyDescent="0.2">
      <c r="A136" s="5"/>
      <c r="B136" s="2"/>
      <c r="C136" s="2"/>
      <c r="D136" s="2"/>
      <c r="E136" s="2"/>
      <c r="F136" s="2"/>
      <c r="G136" s="8"/>
    </row>
    <row r="137" spans="1:7" x14ac:dyDescent="0.2">
      <c r="A137" s="5"/>
      <c r="B137" s="2"/>
      <c r="C137" s="2"/>
      <c r="D137" s="2"/>
      <c r="E137" s="2"/>
      <c r="F137" s="2"/>
      <c r="G137" s="8"/>
    </row>
    <row r="138" spans="1:7" x14ac:dyDescent="0.2">
      <c r="A138" s="5"/>
      <c r="B138" s="2"/>
      <c r="C138" s="2"/>
      <c r="D138" s="2"/>
      <c r="E138" s="2"/>
      <c r="F138" s="2"/>
      <c r="G138" s="8"/>
    </row>
    <row r="139" spans="1:7" x14ac:dyDescent="0.2">
      <c r="A139" s="5"/>
      <c r="B139" s="2"/>
      <c r="C139" s="2"/>
      <c r="D139" s="2"/>
      <c r="E139" s="2"/>
      <c r="F139" s="2"/>
      <c r="G139" s="8"/>
    </row>
    <row r="140" spans="1:7" x14ac:dyDescent="0.2">
      <c r="A140" s="5"/>
      <c r="B140" s="2"/>
      <c r="C140" s="2"/>
      <c r="D140" s="2"/>
      <c r="E140" s="2"/>
      <c r="F140" s="2"/>
      <c r="G140" s="8"/>
    </row>
    <row r="141" spans="1:7" x14ac:dyDescent="0.2">
      <c r="A141" s="5"/>
      <c r="B141" s="2"/>
      <c r="C141" s="2"/>
      <c r="D141" s="2"/>
      <c r="E141" s="2"/>
      <c r="F141" s="2"/>
      <c r="G141" s="8"/>
    </row>
    <row r="142" spans="1:7" x14ac:dyDescent="0.2">
      <c r="A142" s="5"/>
      <c r="B142" s="2"/>
      <c r="C142" s="2"/>
      <c r="D142" s="2"/>
      <c r="E142" s="2"/>
      <c r="F142" s="2"/>
      <c r="G142" s="8"/>
    </row>
    <row r="143" spans="1:7" x14ac:dyDescent="0.2">
      <c r="A143" s="5"/>
      <c r="B143" s="2"/>
      <c r="C143" s="2"/>
      <c r="D143" s="2"/>
      <c r="E143" s="2"/>
      <c r="F143" s="2"/>
      <c r="G143" s="8"/>
    </row>
    <row r="144" spans="1:7" x14ac:dyDescent="0.2">
      <c r="A144" s="5"/>
      <c r="B144" s="2"/>
      <c r="C144" s="2"/>
      <c r="D144" s="2"/>
      <c r="E144" s="2"/>
      <c r="F144" s="2"/>
      <c r="G144" s="8"/>
    </row>
    <row r="145" spans="1:7" x14ac:dyDescent="0.2">
      <c r="A145" s="5"/>
      <c r="B145" s="2"/>
      <c r="C145" s="2"/>
      <c r="D145" s="2"/>
      <c r="E145" s="2"/>
      <c r="F145" s="2"/>
      <c r="G145" s="8"/>
    </row>
    <row r="146" spans="1:7" x14ac:dyDescent="0.2">
      <c r="A146" s="5"/>
      <c r="B146" s="2"/>
      <c r="C146" s="2"/>
      <c r="D146" s="2"/>
      <c r="E146" s="2"/>
      <c r="F146" s="2"/>
      <c r="G146" s="8"/>
    </row>
    <row r="147" spans="1:7" x14ac:dyDescent="0.2">
      <c r="A147" s="5"/>
      <c r="B147" s="2"/>
      <c r="C147" s="2"/>
      <c r="D147" s="2"/>
      <c r="E147" s="2"/>
      <c r="F147" s="2"/>
      <c r="G147" s="8"/>
    </row>
    <row r="148" spans="1:7" x14ac:dyDescent="0.2">
      <c r="A148" s="5"/>
      <c r="B148" s="2"/>
      <c r="C148" s="2"/>
      <c r="D148" s="2"/>
      <c r="E148" s="2"/>
      <c r="F148" s="2"/>
      <c r="G148" s="8"/>
    </row>
    <row r="149" spans="1:7" x14ac:dyDescent="0.2">
      <c r="A149" s="5"/>
      <c r="B149" s="2"/>
      <c r="C149" s="2"/>
      <c r="D149" s="2"/>
      <c r="E149" s="2"/>
      <c r="F149" s="2"/>
      <c r="G149" s="8"/>
    </row>
    <row r="150" spans="1:7" x14ac:dyDescent="0.2">
      <c r="A150" s="5"/>
      <c r="B150" s="2"/>
      <c r="C150" s="2"/>
      <c r="D150" s="2"/>
      <c r="E150" s="2"/>
      <c r="F150" s="2"/>
      <c r="G150" s="8"/>
    </row>
    <row r="151" spans="1:7" x14ac:dyDescent="0.2">
      <c r="A151" s="5"/>
      <c r="B151" s="2"/>
      <c r="C151" s="2"/>
      <c r="D151" s="2"/>
      <c r="E151" s="2"/>
      <c r="F151" s="2"/>
      <c r="G151" s="8"/>
    </row>
    <row r="152" spans="1:7" x14ac:dyDescent="0.2">
      <c r="A152" s="5"/>
      <c r="B152" s="2"/>
      <c r="C152" s="2"/>
      <c r="D152" s="2"/>
      <c r="E152" s="2"/>
      <c r="F152" s="2"/>
      <c r="G152" s="8"/>
    </row>
    <row r="153" spans="1:7" x14ac:dyDescent="0.2">
      <c r="A153" s="5"/>
      <c r="B153" s="2"/>
      <c r="C153" s="2"/>
      <c r="D153" s="2"/>
      <c r="E153" s="2"/>
      <c r="F153" s="2"/>
      <c r="G153" s="8"/>
    </row>
    <row r="154" spans="1:7" x14ac:dyDescent="0.2">
      <c r="A154" s="5"/>
      <c r="B154" s="2"/>
      <c r="C154" s="2"/>
      <c r="D154" s="2"/>
      <c r="E154" s="2"/>
      <c r="F154" s="2"/>
      <c r="G154" s="8"/>
    </row>
    <row r="155" spans="1:7" x14ac:dyDescent="0.2">
      <c r="A155" s="5"/>
      <c r="B155" s="2"/>
      <c r="C155" s="2"/>
      <c r="D155" s="2"/>
      <c r="E155" s="2"/>
      <c r="F155" s="2"/>
      <c r="G155" s="8"/>
    </row>
    <row r="156" spans="1:7" x14ac:dyDescent="0.2">
      <c r="A156" s="5"/>
      <c r="B156" s="2"/>
      <c r="C156" s="2"/>
      <c r="D156" s="2"/>
      <c r="E156" s="2"/>
      <c r="F156" s="2"/>
      <c r="G156" s="8"/>
    </row>
    <row r="157" spans="1:7" x14ac:dyDescent="0.2">
      <c r="A157" s="5"/>
      <c r="B157" s="2"/>
      <c r="C157" s="2"/>
      <c r="D157" s="2"/>
      <c r="E157" s="2"/>
      <c r="F157" s="2"/>
      <c r="G157" s="8"/>
    </row>
    <row r="158" spans="1:7" x14ac:dyDescent="0.2">
      <c r="A158" s="5"/>
      <c r="B158" s="2"/>
      <c r="C158" s="2"/>
      <c r="D158" s="2"/>
      <c r="E158" s="2"/>
      <c r="F158" s="2"/>
      <c r="G158" s="8"/>
    </row>
    <row r="159" spans="1:7" x14ac:dyDescent="0.2">
      <c r="A159" s="5"/>
      <c r="B159" s="2"/>
      <c r="C159" s="2"/>
      <c r="D159" s="2"/>
      <c r="E159" s="2"/>
      <c r="F159" s="2"/>
      <c r="G159" s="8"/>
    </row>
    <row r="160" spans="1:7" x14ac:dyDescent="0.2">
      <c r="A160" s="5"/>
      <c r="B160" s="2"/>
      <c r="C160" s="2"/>
      <c r="D160" s="2"/>
      <c r="E160" s="2"/>
      <c r="F160" s="2"/>
      <c r="G160" s="8"/>
    </row>
    <row r="161" spans="1:7" x14ac:dyDescent="0.2">
      <c r="A161" s="5"/>
      <c r="B161" s="2"/>
      <c r="C161" s="2"/>
      <c r="D161" s="2"/>
      <c r="E161" s="2"/>
      <c r="F161" s="2"/>
      <c r="G161" s="8"/>
    </row>
    <row r="162" spans="1:7" x14ac:dyDescent="0.2">
      <c r="A162" s="5"/>
      <c r="B162" s="2"/>
      <c r="C162" s="2"/>
      <c r="D162" s="2"/>
      <c r="E162" s="2"/>
      <c r="F162" s="2"/>
      <c r="G162" s="8"/>
    </row>
    <row r="163" spans="1:7" x14ac:dyDescent="0.2">
      <c r="A163" s="5"/>
      <c r="B163" s="2"/>
      <c r="C163" s="2"/>
      <c r="D163" s="2"/>
      <c r="E163" s="2"/>
      <c r="F163" s="2"/>
      <c r="G163" s="8"/>
    </row>
    <row r="164" spans="1:7" x14ac:dyDescent="0.2">
      <c r="A164" s="5"/>
      <c r="B164" s="2"/>
      <c r="C164" s="2"/>
      <c r="D164" s="2"/>
      <c r="E164" s="2"/>
      <c r="F164" s="2"/>
      <c r="G164" s="8"/>
    </row>
    <row r="165" spans="1:7" x14ac:dyDescent="0.2">
      <c r="A165" s="5"/>
      <c r="B165" s="2"/>
      <c r="C165" s="2"/>
      <c r="D165" s="2"/>
      <c r="E165" s="2"/>
      <c r="F165" s="2"/>
      <c r="G165" s="8"/>
    </row>
    <row r="166" spans="1:7" x14ac:dyDescent="0.2">
      <c r="A166" s="5"/>
      <c r="B166" s="2"/>
      <c r="C166" s="2"/>
      <c r="D166" s="2"/>
      <c r="E166" s="2"/>
      <c r="F166" s="2"/>
      <c r="G166" s="8"/>
    </row>
    <row r="167" spans="1:7" x14ac:dyDescent="0.2">
      <c r="A167" s="5"/>
      <c r="B167" s="2"/>
      <c r="C167" s="2"/>
      <c r="D167" s="2"/>
      <c r="E167" s="2"/>
      <c r="F167" s="2"/>
      <c r="G167" s="8"/>
    </row>
    <row r="168" spans="1:7" x14ac:dyDescent="0.2">
      <c r="A168" s="5"/>
      <c r="B168" s="2"/>
      <c r="C168" s="2"/>
      <c r="D168" s="2"/>
      <c r="E168" s="2"/>
      <c r="F168" s="2"/>
      <c r="G168" s="8"/>
    </row>
    <row r="169" spans="1:7" x14ac:dyDescent="0.2">
      <c r="A169" s="5"/>
      <c r="B169" s="2"/>
      <c r="C169" s="2"/>
      <c r="D169" s="2"/>
      <c r="E169" s="2"/>
      <c r="F169" s="2"/>
      <c r="G169" s="8"/>
    </row>
    <row r="170" spans="1:7" x14ac:dyDescent="0.2">
      <c r="A170" s="5"/>
      <c r="B170" s="2"/>
      <c r="C170" s="2"/>
      <c r="D170" s="2"/>
      <c r="E170" s="2"/>
      <c r="F170" s="2"/>
      <c r="G170" s="8"/>
    </row>
    <row r="171" spans="1:7" x14ac:dyDescent="0.2">
      <c r="A171" s="5"/>
      <c r="B171" s="2"/>
      <c r="C171" s="2"/>
      <c r="D171" s="2"/>
      <c r="E171" s="2"/>
      <c r="F171" s="2"/>
      <c r="G171" s="8"/>
    </row>
    <row r="172" spans="1:7" x14ac:dyDescent="0.2">
      <c r="A172" s="5"/>
      <c r="B172" s="2"/>
      <c r="C172" s="2"/>
      <c r="D172" s="2"/>
      <c r="E172" s="2"/>
      <c r="F172" s="2"/>
      <c r="G172" s="8"/>
    </row>
    <row r="173" spans="1:7" x14ac:dyDescent="0.2">
      <c r="A173" s="5"/>
      <c r="B173" s="2"/>
      <c r="C173" s="2"/>
      <c r="D173" s="2"/>
      <c r="E173" s="2"/>
      <c r="F173" s="2"/>
      <c r="G173" s="8"/>
    </row>
    <row r="174" spans="1:7" x14ac:dyDescent="0.2">
      <c r="A174" s="5"/>
      <c r="B174" s="2"/>
      <c r="C174" s="2"/>
      <c r="D174" s="2"/>
      <c r="E174" s="2"/>
      <c r="F174" s="2"/>
      <c r="G174" s="8"/>
    </row>
    <row r="175" spans="1:7" x14ac:dyDescent="0.2">
      <c r="A175" s="5"/>
      <c r="B175" s="2"/>
      <c r="C175" s="2"/>
      <c r="D175" s="2"/>
      <c r="E175" s="2"/>
      <c r="F175" s="2"/>
      <c r="G175" s="8"/>
    </row>
    <row r="176" spans="1:7" x14ac:dyDescent="0.2">
      <c r="A176" s="5"/>
      <c r="B176" s="2"/>
      <c r="C176" s="2"/>
      <c r="D176" s="2"/>
      <c r="E176" s="2"/>
      <c r="F176" s="2"/>
      <c r="G176" s="8"/>
    </row>
    <row r="177" spans="1:7" x14ac:dyDescent="0.2">
      <c r="A177" s="5"/>
      <c r="B177" s="2"/>
      <c r="C177" s="2"/>
      <c r="D177" s="2"/>
      <c r="E177" s="2"/>
      <c r="F177" s="2"/>
      <c r="G177" s="8"/>
    </row>
    <row r="178" spans="1:7" x14ac:dyDescent="0.2">
      <c r="A178" s="5"/>
      <c r="B178" s="2"/>
      <c r="C178" s="2"/>
      <c r="D178" s="2"/>
      <c r="E178" s="2"/>
      <c r="F178" s="2"/>
      <c r="G178" s="8"/>
    </row>
    <row r="179" spans="1:7" x14ac:dyDescent="0.2">
      <c r="A179" s="5"/>
      <c r="B179" s="2"/>
      <c r="C179" s="2"/>
      <c r="D179" s="2"/>
      <c r="E179" s="2"/>
      <c r="F179" s="2"/>
      <c r="G179" s="8"/>
    </row>
    <row r="180" spans="1:7" x14ac:dyDescent="0.2">
      <c r="A180" s="5"/>
      <c r="B180" s="2"/>
      <c r="C180" s="2"/>
      <c r="D180" s="2"/>
      <c r="E180" s="2"/>
      <c r="F180" s="2"/>
      <c r="G180" s="8"/>
    </row>
    <row r="181" spans="1:7" x14ac:dyDescent="0.2">
      <c r="A181" s="5"/>
      <c r="B181" s="2"/>
      <c r="C181" s="2"/>
      <c r="D181" s="2"/>
      <c r="E181" s="2"/>
      <c r="F181" s="2"/>
      <c r="G181" s="8"/>
    </row>
    <row r="182" spans="1:7" x14ac:dyDescent="0.2">
      <c r="A182" s="5"/>
      <c r="B182" s="2"/>
      <c r="C182" s="2"/>
      <c r="D182" s="2"/>
      <c r="E182" s="2"/>
      <c r="F182" s="2"/>
      <c r="G182" s="8"/>
    </row>
    <row r="183" spans="1:7" x14ac:dyDescent="0.2">
      <c r="A183" s="5"/>
      <c r="B183" s="2"/>
      <c r="C183" s="2"/>
      <c r="D183" s="2"/>
      <c r="E183" s="2"/>
      <c r="F183" s="2"/>
      <c r="G183" s="8"/>
    </row>
    <row r="184" spans="1:7" x14ac:dyDescent="0.2">
      <c r="A184" s="5"/>
      <c r="B184" s="2"/>
      <c r="C184" s="2"/>
      <c r="D184" s="2"/>
      <c r="E184" s="2"/>
      <c r="F184" s="2"/>
      <c r="G184" s="8"/>
    </row>
    <row r="185" spans="1:7" x14ac:dyDescent="0.2">
      <c r="A185" s="5"/>
      <c r="B185" s="2"/>
      <c r="C185" s="2"/>
      <c r="D185" s="2"/>
      <c r="E185" s="2"/>
      <c r="F185" s="2"/>
      <c r="G185" s="8"/>
    </row>
    <row r="186" spans="1:7" x14ac:dyDescent="0.2">
      <c r="A186" s="5"/>
      <c r="B186" s="2"/>
      <c r="C186" s="2"/>
      <c r="D186" s="2"/>
      <c r="E186" s="2"/>
      <c r="F186" s="2"/>
      <c r="G186" s="8"/>
    </row>
    <row r="187" spans="1:7" x14ac:dyDescent="0.2">
      <c r="A187" s="5"/>
      <c r="B187" s="2"/>
      <c r="C187" s="2"/>
      <c r="D187" s="2"/>
      <c r="E187" s="2"/>
      <c r="F187" s="2"/>
      <c r="G187" s="8"/>
    </row>
    <row r="188" spans="1:7" x14ac:dyDescent="0.2">
      <c r="A188" s="5"/>
      <c r="B188" s="2"/>
      <c r="C188" s="2"/>
      <c r="D188" s="2"/>
      <c r="E188" s="2"/>
      <c r="F188" s="2"/>
      <c r="G188" s="8"/>
    </row>
    <row r="189" spans="1:7" x14ac:dyDescent="0.2">
      <c r="A189" s="5"/>
      <c r="B189" s="2"/>
      <c r="C189" s="2"/>
      <c r="D189" s="2"/>
      <c r="E189" s="2"/>
      <c r="F189" s="2"/>
      <c r="G189" s="8"/>
    </row>
    <row r="190" spans="1:7" x14ac:dyDescent="0.2">
      <c r="A190" s="5"/>
      <c r="B190" s="2"/>
      <c r="C190" s="2"/>
      <c r="D190" s="2"/>
      <c r="E190" s="2"/>
      <c r="F190" s="2"/>
      <c r="G190" s="8"/>
    </row>
    <row r="191" spans="1:7" x14ac:dyDescent="0.2">
      <c r="A191" s="5"/>
      <c r="B191" s="2"/>
      <c r="C191" s="2"/>
      <c r="D191" s="2"/>
      <c r="E191" s="2"/>
      <c r="F191" s="2"/>
      <c r="G191" s="8"/>
    </row>
    <row r="192" spans="1:7" x14ac:dyDescent="0.2">
      <c r="A192" s="5"/>
      <c r="B192" s="2"/>
      <c r="C192" s="2"/>
      <c r="D192" s="2"/>
      <c r="E192" s="2"/>
      <c r="F192" s="2"/>
      <c r="G192" s="8"/>
    </row>
    <row r="193" spans="1:7" x14ac:dyDescent="0.2">
      <c r="A193" s="5"/>
      <c r="B193" s="2"/>
      <c r="C193" s="2"/>
      <c r="D193" s="2"/>
      <c r="E193" s="2"/>
      <c r="F193" s="2"/>
      <c r="G193" s="8"/>
    </row>
    <row r="194" spans="1:7" x14ac:dyDescent="0.2">
      <c r="A194" s="5"/>
      <c r="B194" s="2"/>
      <c r="C194" s="2"/>
      <c r="D194" s="2"/>
      <c r="E194" s="2"/>
      <c r="F194" s="2"/>
      <c r="G194" s="8"/>
    </row>
    <row r="195" spans="1:7" x14ac:dyDescent="0.2">
      <c r="A195" s="5"/>
      <c r="B195" s="2"/>
      <c r="C195" s="2"/>
      <c r="D195" s="2"/>
      <c r="E195" s="2"/>
      <c r="F195" s="2"/>
      <c r="G195" s="8"/>
    </row>
    <row r="196" spans="1:7" x14ac:dyDescent="0.2">
      <c r="A196" s="5"/>
      <c r="B196" s="2"/>
      <c r="C196" s="2"/>
      <c r="D196" s="2"/>
      <c r="E196" s="2"/>
      <c r="F196" s="2"/>
      <c r="G196" s="8"/>
    </row>
    <row r="197" spans="1:7" x14ac:dyDescent="0.2">
      <c r="A197" s="5"/>
      <c r="B197" s="2"/>
      <c r="C197" s="2"/>
      <c r="D197" s="2"/>
      <c r="E197" s="2"/>
      <c r="F197" s="2"/>
      <c r="G197" s="8"/>
    </row>
    <row r="198" spans="1:7" x14ac:dyDescent="0.2">
      <c r="A198" s="5"/>
      <c r="B198" s="2"/>
      <c r="C198" s="2"/>
      <c r="D198" s="2"/>
      <c r="E198" s="2"/>
      <c r="F198" s="2"/>
      <c r="G198" s="8"/>
    </row>
    <row r="199" spans="1:7" x14ac:dyDescent="0.2">
      <c r="A199" s="5"/>
      <c r="B199" s="2"/>
      <c r="C199" s="2"/>
      <c r="D199" s="2"/>
      <c r="E199" s="2"/>
      <c r="F199" s="2"/>
      <c r="G199" s="8"/>
    </row>
    <row r="200" spans="1:7" x14ac:dyDescent="0.2">
      <c r="A200" s="5"/>
      <c r="B200" s="2"/>
      <c r="C200" s="2"/>
      <c r="D200" s="2"/>
      <c r="E200" s="2"/>
      <c r="F200" s="2"/>
      <c r="G200" s="8"/>
    </row>
    <row r="201" spans="1:7" x14ac:dyDescent="0.2">
      <c r="A201" s="5"/>
      <c r="B201" s="2"/>
      <c r="C201" s="2"/>
      <c r="D201" s="2"/>
      <c r="E201" s="2"/>
      <c r="F201" s="2"/>
      <c r="G201" s="8"/>
    </row>
    <row r="202" spans="1:7" x14ac:dyDescent="0.2">
      <c r="A202" s="5"/>
      <c r="B202" s="2"/>
      <c r="C202" s="2"/>
      <c r="D202" s="2"/>
      <c r="E202" s="2"/>
      <c r="F202" s="2"/>
      <c r="G202" s="8"/>
    </row>
    <row r="203" spans="1:7" x14ac:dyDescent="0.2">
      <c r="A203" s="5"/>
      <c r="B203" s="2"/>
      <c r="C203" s="2"/>
      <c r="D203" s="2"/>
      <c r="E203" s="2"/>
      <c r="F203" s="2"/>
      <c r="G203" s="8"/>
    </row>
    <row r="204" spans="1:7" x14ac:dyDescent="0.2">
      <c r="A204" s="5"/>
      <c r="B204" s="2"/>
      <c r="C204" s="2"/>
      <c r="D204" s="2"/>
      <c r="E204" s="2"/>
      <c r="F204" s="2"/>
      <c r="G204" s="8"/>
    </row>
  </sheetData>
  <autoFilter ref="A4:G204" xr:uid="{00000000-0009-0000-0000-000002000000}"/>
  <mergeCells count="2">
    <mergeCell ref="A1:G1"/>
    <mergeCell ref="A2:G2"/>
  </mergeCells>
  <dataValidations count="2">
    <dataValidation type="list" allowBlank="1" showInputMessage="1" showErrorMessage="1" sqref="D5:D204" xr:uid="{00000000-0002-0000-0200-000000000000}">
      <formula1>"H,A"</formula1>
    </dataValidation>
    <dataValidation type="list" allowBlank="1" showInputMessage="1" showErrorMessage="1" sqref="E5:F204" xr:uid="{00000000-0002-0000-0200-000001000000}">
      <formula1>"Yes,No"</formula1>
    </dataValidation>
  </dataValidations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7"/>
  <sheetViews>
    <sheetView showGridLines="0" workbookViewId="0">
      <selection sqref="A1:D1"/>
    </sheetView>
  </sheetViews>
  <sheetFormatPr baseColWidth="10" defaultColWidth="9" defaultRowHeight="14" x14ac:dyDescent="0.2"/>
  <cols>
    <col min="1" max="1" width="24" customWidth="1"/>
    <col min="2" max="4" width="22" customWidth="1"/>
  </cols>
  <sheetData>
    <row r="1" spans="1:4" ht="20" x14ac:dyDescent="0.2">
      <c r="A1" s="17" t="s">
        <v>31</v>
      </c>
      <c r="B1" s="17"/>
      <c r="C1" s="17"/>
      <c r="D1" s="17"/>
    </row>
    <row r="2" spans="1:4" ht="34" customHeight="1" x14ac:dyDescent="0.2">
      <c r="A2" s="18" t="s">
        <v>32</v>
      </c>
      <c r="B2" s="18"/>
      <c r="C2" s="18"/>
      <c r="D2" s="18"/>
    </row>
    <row r="4" spans="1:4" x14ac:dyDescent="0.2">
      <c r="A4" s="19" t="s">
        <v>33</v>
      </c>
      <c r="B4" s="19"/>
      <c r="C4" s="19"/>
      <c r="D4" s="19"/>
    </row>
    <row r="5" spans="1:4" ht="150" customHeight="1" x14ac:dyDescent="0.2">
      <c r="A5" s="20"/>
      <c r="B5" s="20"/>
      <c r="C5" s="20"/>
      <c r="D5" s="20"/>
    </row>
    <row r="7" spans="1:4" x14ac:dyDescent="0.2">
      <c r="A7" s="1" t="s">
        <v>34</v>
      </c>
      <c r="B7" s="16" t="s">
        <v>35</v>
      </c>
      <c r="C7" s="16"/>
      <c r="D7" s="16"/>
    </row>
  </sheetData>
  <mergeCells count="5">
    <mergeCell ref="A1:D1"/>
    <mergeCell ref="A2:D2"/>
    <mergeCell ref="A4:D4"/>
    <mergeCell ref="A5:D5"/>
    <mergeCell ref="B7:D7"/>
  </mergeCells>
  <pageMargins left="0.3" right="0.3" top="0.5" bottom="0.5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B1:L112"/>
  <sheetViews>
    <sheetView showGridLines="0" workbookViewId="0">
      <pane ySplit="1" topLeftCell="A2" activePane="bottomLeft" state="frozen"/>
      <selection pane="bottomLeft" activeCell="C2" sqref="C2"/>
    </sheetView>
  </sheetViews>
  <sheetFormatPr baseColWidth="10" defaultColWidth="9" defaultRowHeight="14" x14ac:dyDescent="0.2"/>
  <cols>
    <col min="1" max="1" width="3" customWidth="1"/>
    <col min="2" max="2" width="23" customWidth="1"/>
    <col min="3" max="3" width="13" customWidth="1"/>
    <col min="4" max="4" width="11" customWidth="1"/>
    <col min="5" max="5" width="3" customWidth="1"/>
    <col min="6" max="6" width="11" customWidth="1"/>
    <col min="7" max="8" width="27" customWidth="1"/>
    <col min="9" max="9" width="11" customWidth="1"/>
    <col min="10" max="11" width="3" customWidth="1"/>
    <col min="12" max="12" width="18" customWidth="1"/>
  </cols>
  <sheetData>
    <row r="1" spans="2:12" x14ac:dyDescent="0.2">
      <c r="B1" s="4" t="s">
        <v>36</v>
      </c>
      <c r="C1" s="1" t="s">
        <v>17</v>
      </c>
      <c r="D1" s="1" t="s">
        <v>37</v>
      </c>
      <c r="F1" s="1" t="s">
        <v>19</v>
      </c>
      <c r="G1" s="1" t="s">
        <v>38</v>
      </c>
      <c r="H1" s="1" t="s">
        <v>39</v>
      </c>
      <c r="I1" s="1" t="s">
        <v>40</v>
      </c>
      <c r="L1" s="1" t="s">
        <v>23</v>
      </c>
    </row>
    <row r="2" spans="2:12" x14ac:dyDescent="0.2">
      <c r="C2" s="9">
        <f>IF('Fixtures Input'!A5="","",'Fixtures Input'!A5)</f>
        <v>46145</v>
      </c>
      <c r="D2" s="4" t="str">
        <f t="shared" ref="D2:D33" si="0">IF(C2="","",TEXT(C2,"ddd"))</f>
        <v>Sun</v>
      </c>
      <c r="F2" s="10">
        <f>IF('Fixtures Input'!C5="","",'Fixtures Input'!C5)</f>
        <v>1500</v>
      </c>
      <c r="G2" s="4" t="str">
        <f>IF('Fixtures Input'!D5="","",'Fixtures Input'!D5)</f>
        <v>bournemouth</v>
      </c>
      <c r="H2" s="4" t="str">
        <f>IF('Fixtures Input'!E5="","",'Fixtures Input'!E5)</f>
        <v>milford</v>
      </c>
      <c r="I2" s="4" t="str">
        <f>IF('Fixtures Input'!F5="","",'Fixtures Input'!F5)</f>
        <v>H</v>
      </c>
      <c r="L2" s="4" t="str">
        <f>IF('Fixtures Input'!A5="","",IF('Fixtures Input'!G5="","Published",'Fixtures Input'!G5))</f>
        <v>Played</v>
      </c>
    </row>
    <row r="3" spans="2:12" x14ac:dyDescent="0.2">
      <c r="C3" s="9" t="str">
        <f>IF('Fixtures Input'!A6="","",'Fixtures Input'!A6)</f>
        <v/>
      </c>
      <c r="D3" s="4" t="str">
        <f t="shared" si="0"/>
        <v/>
      </c>
      <c r="F3" s="10" t="str">
        <f>IF('Fixtures Input'!C6="","",'Fixtures Input'!C6)</f>
        <v/>
      </c>
      <c r="G3" s="4" t="str">
        <f>IF('Fixtures Input'!D6="","",'Fixtures Input'!D6)</f>
        <v/>
      </c>
      <c r="H3" s="4" t="str">
        <f>IF('Fixtures Input'!E6="","",'Fixtures Input'!E6)</f>
        <v/>
      </c>
      <c r="I3" s="4" t="str">
        <f>IF('Fixtures Input'!F6="","",'Fixtures Input'!F6)</f>
        <v/>
      </c>
      <c r="L3" s="4" t="str">
        <f>IF('Fixtures Input'!A6="","",IF('Fixtures Input'!G6="","Published",'Fixtures Input'!G6))</f>
        <v/>
      </c>
    </row>
    <row r="4" spans="2:12" x14ac:dyDescent="0.2">
      <c r="C4" s="9" t="str">
        <f>IF('Fixtures Input'!A7="","",'Fixtures Input'!A7)</f>
        <v/>
      </c>
      <c r="D4" s="4" t="str">
        <f t="shared" si="0"/>
        <v/>
      </c>
      <c r="F4" s="10" t="str">
        <f>IF('Fixtures Input'!C7="","",'Fixtures Input'!C7)</f>
        <v/>
      </c>
      <c r="G4" s="4" t="str">
        <f>IF('Fixtures Input'!D7="","",'Fixtures Input'!D7)</f>
        <v/>
      </c>
      <c r="H4" s="4" t="str">
        <f>IF('Fixtures Input'!E7="","",'Fixtures Input'!E7)</f>
        <v/>
      </c>
      <c r="I4" s="4" t="str">
        <f>IF('Fixtures Input'!F7="","",'Fixtures Input'!F7)</f>
        <v/>
      </c>
      <c r="L4" s="4" t="str">
        <f>IF('Fixtures Input'!A7="","",IF('Fixtures Input'!G7="","Published",'Fixtures Input'!G7))</f>
        <v/>
      </c>
    </row>
    <row r="5" spans="2:12" x14ac:dyDescent="0.2">
      <c r="C5" s="9" t="str">
        <f>IF('Fixtures Input'!A8="","",'Fixtures Input'!A8)</f>
        <v/>
      </c>
      <c r="D5" s="4" t="str">
        <f t="shared" si="0"/>
        <v/>
      </c>
      <c r="F5" s="10" t="str">
        <f>IF('Fixtures Input'!C8="","",'Fixtures Input'!C8)</f>
        <v/>
      </c>
      <c r="G5" s="4" t="str">
        <f>IF('Fixtures Input'!D8="","",'Fixtures Input'!D8)</f>
        <v/>
      </c>
      <c r="H5" s="4" t="str">
        <f>IF('Fixtures Input'!E8="","",'Fixtures Input'!E8)</f>
        <v/>
      </c>
      <c r="I5" s="4" t="str">
        <f>IF('Fixtures Input'!F8="","",'Fixtures Input'!F8)</f>
        <v/>
      </c>
      <c r="L5" s="4" t="str">
        <f>IF('Fixtures Input'!A8="","",IF('Fixtures Input'!G8="","Published",'Fixtures Input'!G8))</f>
        <v/>
      </c>
    </row>
    <row r="6" spans="2:12" x14ac:dyDescent="0.2">
      <c r="C6" s="9" t="str">
        <f>IF('Fixtures Input'!A9="","",'Fixtures Input'!A9)</f>
        <v/>
      </c>
      <c r="D6" s="4" t="str">
        <f t="shared" si="0"/>
        <v/>
      </c>
      <c r="F6" s="10" t="str">
        <f>IF('Fixtures Input'!C9="","",'Fixtures Input'!C9)</f>
        <v/>
      </c>
      <c r="G6" s="4" t="str">
        <f>IF('Fixtures Input'!D9="","",'Fixtures Input'!D9)</f>
        <v/>
      </c>
      <c r="H6" s="4" t="str">
        <f>IF('Fixtures Input'!E9="","",'Fixtures Input'!E9)</f>
        <v/>
      </c>
      <c r="I6" s="4" t="str">
        <f>IF('Fixtures Input'!F9="","",'Fixtures Input'!F9)</f>
        <v/>
      </c>
      <c r="L6" s="4" t="str">
        <f>IF('Fixtures Input'!A9="","",IF('Fixtures Input'!G9="","Published",'Fixtures Input'!G9))</f>
        <v/>
      </c>
    </row>
    <row r="7" spans="2:12" x14ac:dyDescent="0.2">
      <c r="C7" s="9" t="str">
        <f>IF('Fixtures Input'!A10="","",'Fixtures Input'!A10)</f>
        <v/>
      </c>
      <c r="D7" s="4" t="str">
        <f t="shared" si="0"/>
        <v/>
      </c>
      <c r="F7" s="10" t="str">
        <f>IF('Fixtures Input'!C10="","",'Fixtures Input'!C10)</f>
        <v/>
      </c>
      <c r="G7" s="4" t="str">
        <f>IF('Fixtures Input'!D10="","",'Fixtures Input'!D10)</f>
        <v/>
      </c>
      <c r="H7" s="4" t="str">
        <f>IF('Fixtures Input'!E10="","",'Fixtures Input'!E10)</f>
        <v/>
      </c>
      <c r="I7" s="4" t="str">
        <f>IF('Fixtures Input'!F10="","",'Fixtures Input'!F10)</f>
        <v/>
      </c>
      <c r="L7" s="4" t="str">
        <f>IF('Fixtures Input'!A10="","",IF('Fixtures Input'!G10="","Published",'Fixtures Input'!G10))</f>
        <v/>
      </c>
    </row>
    <row r="8" spans="2:12" x14ac:dyDescent="0.2">
      <c r="C8" s="9" t="str">
        <f>IF('Fixtures Input'!A11="","",'Fixtures Input'!A11)</f>
        <v/>
      </c>
      <c r="D8" s="4" t="str">
        <f t="shared" si="0"/>
        <v/>
      </c>
      <c r="F8" s="10" t="str">
        <f>IF('Fixtures Input'!C11="","",'Fixtures Input'!C11)</f>
        <v/>
      </c>
      <c r="G8" s="4" t="str">
        <f>IF('Fixtures Input'!D11="","",'Fixtures Input'!D11)</f>
        <v/>
      </c>
      <c r="H8" s="4" t="str">
        <f>IF('Fixtures Input'!E11="","",'Fixtures Input'!E11)</f>
        <v/>
      </c>
      <c r="I8" s="4" t="str">
        <f>IF('Fixtures Input'!F11="","",'Fixtures Input'!F11)</f>
        <v/>
      </c>
      <c r="L8" s="4" t="str">
        <f>IF('Fixtures Input'!A11="","",IF('Fixtures Input'!G11="","Published",'Fixtures Input'!G11))</f>
        <v/>
      </c>
    </row>
    <row r="9" spans="2:12" x14ac:dyDescent="0.2">
      <c r="C9" s="9" t="str">
        <f>IF('Fixtures Input'!A12="","",'Fixtures Input'!A12)</f>
        <v/>
      </c>
      <c r="D9" s="4" t="str">
        <f t="shared" si="0"/>
        <v/>
      </c>
      <c r="F9" s="10" t="str">
        <f>IF('Fixtures Input'!C12="","",'Fixtures Input'!C12)</f>
        <v/>
      </c>
      <c r="G9" s="4" t="str">
        <f>IF('Fixtures Input'!D12="","",'Fixtures Input'!D12)</f>
        <v/>
      </c>
      <c r="H9" s="4" t="str">
        <f>IF('Fixtures Input'!E12="","",'Fixtures Input'!E12)</f>
        <v/>
      </c>
      <c r="I9" s="4" t="str">
        <f>IF('Fixtures Input'!F12="","",'Fixtures Input'!F12)</f>
        <v/>
      </c>
      <c r="L9" s="4" t="str">
        <f>IF('Fixtures Input'!A12="","",IF('Fixtures Input'!G12="","Published",'Fixtures Input'!G12))</f>
        <v/>
      </c>
    </row>
    <row r="10" spans="2:12" x14ac:dyDescent="0.2">
      <c r="C10" s="9" t="str">
        <f>IF('Fixtures Input'!A13="","",'Fixtures Input'!A13)</f>
        <v/>
      </c>
      <c r="D10" s="4" t="str">
        <f t="shared" si="0"/>
        <v/>
      </c>
      <c r="F10" s="10" t="str">
        <f>IF('Fixtures Input'!C13="","",'Fixtures Input'!C13)</f>
        <v/>
      </c>
      <c r="G10" s="4" t="str">
        <f>IF('Fixtures Input'!D13="","",'Fixtures Input'!D13)</f>
        <v/>
      </c>
      <c r="H10" s="4" t="str">
        <f>IF('Fixtures Input'!E13="","",'Fixtures Input'!E13)</f>
        <v/>
      </c>
      <c r="I10" s="4" t="str">
        <f>IF('Fixtures Input'!F13="","",'Fixtures Input'!F13)</f>
        <v/>
      </c>
      <c r="L10" s="4" t="str">
        <f>IF('Fixtures Input'!A13="","",IF('Fixtures Input'!G13="","Published",'Fixtures Input'!G13))</f>
        <v/>
      </c>
    </row>
    <row r="11" spans="2:12" x14ac:dyDescent="0.2">
      <c r="C11" s="9" t="str">
        <f>IF('Fixtures Input'!A14="","",'Fixtures Input'!A14)</f>
        <v/>
      </c>
      <c r="D11" s="4" t="str">
        <f t="shared" si="0"/>
        <v/>
      </c>
      <c r="F11" s="10" t="str">
        <f>IF('Fixtures Input'!C14="","",'Fixtures Input'!C14)</f>
        <v/>
      </c>
      <c r="G11" s="4" t="str">
        <f>IF('Fixtures Input'!D14="","",'Fixtures Input'!D14)</f>
        <v/>
      </c>
      <c r="H11" s="4" t="str">
        <f>IF('Fixtures Input'!E14="","",'Fixtures Input'!E14)</f>
        <v/>
      </c>
      <c r="I11" s="4" t="str">
        <f>IF('Fixtures Input'!F14="","",'Fixtures Input'!F14)</f>
        <v/>
      </c>
      <c r="L11" s="4" t="str">
        <f>IF('Fixtures Input'!A14="","",IF('Fixtures Input'!G14="","Published",'Fixtures Input'!G14))</f>
        <v/>
      </c>
    </row>
    <row r="12" spans="2:12" x14ac:dyDescent="0.2">
      <c r="C12" s="9" t="str">
        <f>IF('Fixtures Input'!A15="","",'Fixtures Input'!A15)</f>
        <v/>
      </c>
      <c r="D12" s="4" t="str">
        <f t="shared" si="0"/>
        <v/>
      </c>
      <c r="F12" s="10" t="str">
        <f>IF('Fixtures Input'!C15="","",'Fixtures Input'!C15)</f>
        <v/>
      </c>
      <c r="G12" s="4" t="str">
        <f>IF('Fixtures Input'!D15="","",'Fixtures Input'!D15)</f>
        <v/>
      </c>
      <c r="H12" s="4" t="str">
        <f>IF('Fixtures Input'!E15="","",'Fixtures Input'!E15)</f>
        <v/>
      </c>
      <c r="I12" s="4" t="str">
        <f>IF('Fixtures Input'!F15="","",'Fixtures Input'!F15)</f>
        <v/>
      </c>
      <c r="L12" s="4" t="str">
        <f>IF('Fixtures Input'!A15="","",IF('Fixtures Input'!G15="","Published",'Fixtures Input'!G15))</f>
        <v/>
      </c>
    </row>
    <row r="13" spans="2:12" x14ac:dyDescent="0.2">
      <c r="C13" s="9" t="str">
        <f>IF('Fixtures Input'!A16="","",'Fixtures Input'!A16)</f>
        <v/>
      </c>
      <c r="D13" s="4" t="str">
        <f t="shared" si="0"/>
        <v/>
      </c>
      <c r="F13" s="10" t="str">
        <f>IF('Fixtures Input'!C16="","",'Fixtures Input'!C16)</f>
        <v/>
      </c>
      <c r="G13" s="4" t="str">
        <f>IF('Fixtures Input'!D16="","",'Fixtures Input'!D16)</f>
        <v/>
      </c>
      <c r="H13" s="4" t="str">
        <f>IF('Fixtures Input'!E16="","",'Fixtures Input'!E16)</f>
        <v/>
      </c>
      <c r="I13" s="4" t="str">
        <f>IF('Fixtures Input'!F16="","",'Fixtures Input'!F16)</f>
        <v/>
      </c>
      <c r="L13" s="4" t="str">
        <f>IF('Fixtures Input'!A16="","",IF('Fixtures Input'!G16="","Published",'Fixtures Input'!G16))</f>
        <v/>
      </c>
    </row>
    <row r="14" spans="2:12" x14ac:dyDescent="0.2">
      <c r="C14" s="9" t="str">
        <f>IF('Fixtures Input'!A17="","",'Fixtures Input'!A17)</f>
        <v/>
      </c>
      <c r="D14" s="4" t="str">
        <f t="shared" si="0"/>
        <v/>
      </c>
      <c r="F14" s="10" t="str">
        <f>IF('Fixtures Input'!C17="","",'Fixtures Input'!C17)</f>
        <v/>
      </c>
      <c r="G14" s="4" t="str">
        <f>IF('Fixtures Input'!D17="","",'Fixtures Input'!D17)</f>
        <v/>
      </c>
      <c r="H14" s="4" t="str">
        <f>IF('Fixtures Input'!E17="","",'Fixtures Input'!E17)</f>
        <v/>
      </c>
      <c r="I14" s="4" t="str">
        <f>IF('Fixtures Input'!F17="","",'Fixtures Input'!F17)</f>
        <v/>
      </c>
      <c r="L14" s="4" t="str">
        <f>IF('Fixtures Input'!A17="","",IF('Fixtures Input'!G17="","Published",'Fixtures Input'!G17))</f>
        <v/>
      </c>
    </row>
    <row r="15" spans="2:12" x14ac:dyDescent="0.2">
      <c r="C15" s="9" t="str">
        <f>IF('Fixtures Input'!A18="","",'Fixtures Input'!A18)</f>
        <v/>
      </c>
      <c r="D15" s="4" t="str">
        <f t="shared" si="0"/>
        <v/>
      </c>
      <c r="F15" s="10" t="str">
        <f>IF('Fixtures Input'!C18="","",'Fixtures Input'!C18)</f>
        <v/>
      </c>
      <c r="G15" s="4" t="str">
        <f>IF('Fixtures Input'!D18="","",'Fixtures Input'!D18)</f>
        <v/>
      </c>
      <c r="H15" s="4" t="str">
        <f>IF('Fixtures Input'!E18="","",'Fixtures Input'!E18)</f>
        <v/>
      </c>
      <c r="I15" s="4" t="str">
        <f>IF('Fixtures Input'!F18="","",'Fixtures Input'!F18)</f>
        <v/>
      </c>
      <c r="L15" s="4" t="str">
        <f>IF('Fixtures Input'!A18="","",IF('Fixtures Input'!G18="","Published",'Fixtures Input'!G18))</f>
        <v/>
      </c>
    </row>
    <row r="16" spans="2:12" x14ac:dyDescent="0.2">
      <c r="C16" s="9" t="str">
        <f>IF('Fixtures Input'!A19="","",'Fixtures Input'!A19)</f>
        <v/>
      </c>
      <c r="D16" s="4" t="str">
        <f t="shared" si="0"/>
        <v/>
      </c>
      <c r="F16" s="10" t="str">
        <f>IF('Fixtures Input'!C19="","",'Fixtures Input'!C19)</f>
        <v/>
      </c>
      <c r="G16" s="4" t="str">
        <f>IF('Fixtures Input'!D19="","",'Fixtures Input'!D19)</f>
        <v/>
      </c>
      <c r="H16" s="4" t="str">
        <f>IF('Fixtures Input'!E19="","",'Fixtures Input'!E19)</f>
        <v/>
      </c>
      <c r="I16" s="4" t="str">
        <f>IF('Fixtures Input'!F19="","",'Fixtures Input'!F19)</f>
        <v/>
      </c>
      <c r="L16" s="4" t="str">
        <f>IF('Fixtures Input'!A19="","",IF('Fixtures Input'!G19="","Published",'Fixtures Input'!G19))</f>
        <v/>
      </c>
    </row>
    <row r="17" spans="3:12" x14ac:dyDescent="0.2">
      <c r="C17" s="9" t="str">
        <f>IF('Fixtures Input'!A20="","",'Fixtures Input'!A20)</f>
        <v/>
      </c>
      <c r="D17" s="4" t="str">
        <f t="shared" si="0"/>
        <v/>
      </c>
      <c r="F17" s="10" t="str">
        <f>IF('Fixtures Input'!C20="","",'Fixtures Input'!C20)</f>
        <v/>
      </c>
      <c r="G17" s="4" t="str">
        <f>IF('Fixtures Input'!D20="","",'Fixtures Input'!D20)</f>
        <v/>
      </c>
      <c r="H17" s="4" t="str">
        <f>IF('Fixtures Input'!E20="","",'Fixtures Input'!E20)</f>
        <v/>
      </c>
      <c r="I17" s="4" t="str">
        <f>IF('Fixtures Input'!F20="","",'Fixtures Input'!F20)</f>
        <v/>
      </c>
      <c r="L17" s="4" t="str">
        <f>IF('Fixtures Input'!A20="","",IF('Fixtures Input'!G20="","Published",'Fixtures Input'!G20))</f>
        <v/>
      </c>
    </row>
    <row r="18" spans="3:12" x14ac:dyDescent="0.2">
      <c r="C18" s="9" t="str">
        <f>IF('Fixtures Input'!A21="","",'Fixtures Input'!A21)</f>
        <v/>
      </c>
      <c r="D18" s="4" t="str">
        <f t="shared" si="0"/>
        <v/>
      </c>
      <c r="F18" s="10" t="str">
        <f>IF('Fixtures Input'!C21="","",'Fixtures Input'!C21)</f>
        <v/>
      </c>
      <c r="G18" s="4" t="str">
        <f>IF('Fixtures Input'!D21="","",'Fixtures Input'!D21)</f>
        <v/>
      </c>
      <c r="H18" s="4" t="str">
        <f>IF('Fixtures Input'!E21="","",'Fixtures Input'!E21)</f>
        <v/>
      </c>
      <c r="I18" s="4" t="str">
        <f>IF('Fixtures Input'!F21="","",'Fixtures Input'!F21)</f>
        <v/>
      </c>
      <c r="L18" s="4" t="str">
        <f>IF('Fixtures Input'!A21="","",IF('Fixtures Input'!G21="","Published",'Fixtures Input'!G21))</f>
        <v/>
      </c>
    </row>
    <row r="19" spans="3:12" x14ac:dyDescent="0.2">
      <c r="C19" s="9" t="str">
        <f>IF('Fixtures Input'!A22="","",'Fixtures Input'!A22)</f>
        <v/>
      </c>
      <c r="D19" s="4" t="str">
        <f t="shared" si="0"/>
        <v/>
      </c>
      <c r="F19" s="10" t="str">
        <f>IF('Fixtures Input'!C22="","",'Fixtures Input'!C22)</f>
        <v/>
      </c>
      <c r="G19" s="4" t="str">
        <f>IF('Fixtures Input'!D22="","",'Fixtures Input'!D22)</f>
        <v/>
      </c>
      <c r="H19" s="4" t="str">
        <f>IF('Fixtures Input'!E22="","",'Fixtures Input'!E22)</f>
        <v/>
      </c>
      <c r="I19" s="4" t="str">
        <f>IF('Fixtures Input'!F22="","",'Fixtures Input'!F22)</f>
        <v/>
      </c>
      <c r="L19" s="4" t="str">
        <f>IF('Fixtures Input'!A22="","",IF('Fixtures Input'!G22="","Published",'Fixtures Input'!G22))</f>
        <v/>
      </c>
    </row>
    <row r="20" spans="3:12" x14ac:dyDescent="0.2">
      <c r="C20" s="9" t="str">
        <f>IF('Fixtures Input'!A23="","",'Fixtures Input'!A23)</f>
        <v/>
      </c>
      <c r="D20" s="4" t="str">
        <f t="shared" si="0"/>
        <v/>
      </c>
      <c r="F20" s="10" t="str">
        <f>IF('Fixtures Input'!C23="","",'Fixtures Input'!C23)</f>
        <v/>
      </c>
      <c r="G20" s="4" t="str">
        <f>IF('Fixtures Input'!D23="","",'Fixtures Input'!D23)</f>
        <v/>
      </c>
      <c r="H20" s="4" t="str">
        <f>IF('Fixtures Input'!E23="","",'Fixtures Input'!E23)</f>
        <v/>
      </c>
      <c r="I20" s="4" t="str">
        <f>IF('Fixtures Input'!F23="","",'Fixtures Input'!F23)</f>
        <v/>
      </c>
      <c r="L20" s="4" t="str">
        <f>IF('Fixtures Input'!A23="","",IF('Fixtures Input'!G23="","Published",'Fixtures Input'!G23))</f>
        <v/>
      </c>
    </row>
    <row r="21" spans="3:12" x14ac:dyDescent="0.2">
      <c r="C21" s="9" t="str">
        <f>IF('Fixtures Input'!A24="","",'Fixtures Input'!A24)</f>
        <v/>
      </c>
      <c r="D21" s="4" t="str">
        <f t="shared" si="0"/>
        <v/>
      </c>
      <c r="F21" s="10" t="str">
        <f>IF('Fixtures Input'!C24="","",'Fixtures Input'!C24)</f>
        <v/>
      </c>
      <c r="G21" s="4" t="str">
        <f>IF('Fixtures Input'!D24="","",'Fixtures Input'!D24)</f>
        <v/>
      </c>
      <c r="H21" s="4" t="str">
        <f>IF('Fixtures Input'!E24="","",'Fixtures Input'!E24)</f>
        <v/>
      </c>
      <c r="I21" s="4" t="str">
        <f>IF('Fixtures Input'!F24="","",'Fixtures Input'!F24)</f>
        <v/>
      </c>
      <c r="L21" s="4" t="str">
        <f>IF('Fixtures Input'!A24="","",IF('Fixtures Input'!G24="","Published",'Fixtures Input'!G24))</f>
        <v/>
      </c>
    </row>
    <row r="22" spans="3:12" x14ac:dyDescent="0.2">
      <c r="C22" s="9" t="str">
        <f>IF('Fixtures Input'!A25="","",'Fixtures Input'!A25)</f>
        <v/>
      </c>
      <c r="D22" s="4" t="str">
        <f t="shared" si="0"/>
        <v/>
      </c>
      <c r="F22" s="10" t="str">
        <f>IF('Fixtures Input'!C25="","",'Fixtures Input'!C25)</f>
        <v/>
      </c>
      <c r="G22" s="4" t="str">
        <f>IF('Fixtures Input'!D25="","",'Fixtures Input'!D25)</f>
        <v/>
      </c>
      <c r="H22" s="4" t="str">
        <f>IF('Fixtures Input'!E25="","",'Fixtures Input'!E25)</f>
        <v/>
      </c>
      <c r="I22" s="4" t="str">
        <f>IF('Fixtures Input'!F25="","",'Fixtures Input'!F25)</f>
        <v/>
      </c>
      <c r="L22" s="4" t="str">
        <f>IF('Fixtures Input'!A25="","",IF('Fixtures Input'!G25="","Published",'Fixtures Input'!G25))</f>
        <v/>
      </c>
    </row>
    <row r="23" spans="3:12" x14ac:dyDescent="0.2">
      <c r="C23" s="9" t="str">
        <f>IF('Fixtures Input'!A26="","",'Fixtures Input'!A26)</f>
        <v/>
      </c>
      <c r="D23" s="4" t="str">
        <f t="shared" si="0"/>
        <v/>
      </c>
      <c r="F23" s="10" t="str">
        <f>IF('Fixtures Input'!C26="","",'Fixtures Input'!C26)</f>
        <v/>
      </c>
      <c r="G23" s="4" t="str">
        <f>IF('Fixtures Input'!D26="","",'Fixtures Input'!D26)</f>
        <v/>
      </c>
      <c r="H23" s="4" t="str">
        <f>IF('Fixtures Input'!E26="","",'Fixtures Input'!E26)</f>
        <v/>
      </c>
      <c r="I23" s="4" t="str">
        <f>IF('Fixtures Input'!F26="","",'Fixtures Input'!F26)</f>
        <v/>
      </c>
      <c r="L23" s="4" t="str">
        <f>IF('Fixtures Input'!A26="","",IF('Fixtures Input'!G26="","Published",'Fixtures Input'!G26))</f>
        <v/>
      </c>
    </row>
    <row r="24" spans="3:12" x14ac:dyDescent="0.2">
      <c r="C24" s="9" t="str">
        <f>IF('Fixtures Input'!A27="","",'Fixtures Input'!A27)</f>
        <v/>
      </c>
      <c r="D24" s="4" t="str">
        <f t="shared" si="0"/>
        <v/>
      </c>
      <c r="F24" s="10" t="str">
        <f>IF('Fixtures Input'!C27="","",'Fixtures Input'!C27)</f>
        <v/>
      </c>
      <c r="G24" s="4" t="str">
        <f>IF('Fixtures Input'!D27="","",'Fixtures Input'!D27)</f>
        <v/>
      </c>
      <c r="H24" s="4" t="str">
        <f>IF('Fixtures Input'!E27="","",'Fixtures Input'!E27)</f>
        <v/>
      </c>
      <c r="I24" s="4" t="str">
        <f>IF('Fixtures Input'!F27="","",'Fixtures Input'!F27)</f>
        <v/>
      </c>
      <c r="L24" s="4" t="str">
        <f>IF('Fixtures Input'!A27="","",IF('Fixtures Input'!G27="","Published",'Fixtures Input'!G27))</f>
        <v/>
      </c>
    </row>
    <row r="25" spans="3:12" x14ac:dyDescent="0.2">
      <c r="C25" s="9" t="str">
        <f>IF('Fixtures Input'!A28="","",'Fixtures Input'!A28)</f>
        <v/>
      </c>
      <c r="D25" s="4" t="str">
        <f t="shared" si="0"/>
        <v/>
      </c>
      <c r="F25" s="10" t="str">
        <f>IF('Fixtures Input'!C28="","",'Fixtures Input'!C28)</f>
        <v/>
      </c>
      <c r="G25" s="4" t="str">
        <f>IF('Fixtures Input'!D28="","",'Fixtures Input'!D28)</f>
        <v/>
      </c>
      <c r="H25" s="4" t="str">
        <f>IF('Fixtures Input'!E28="","",'Fixtures Input'!E28)</f>
        <v/>
      </c>
      <c r="I25" s="4" t="str">
        <f>IF('Fixtures Input'!F28="","",'Fixtures Input'!F28)</f>
        <v/>
      </c>
      <c r="L25" s="4" t="str">
        <f>IF('Fixtures Input'!A28="","",IF('Fixtures Input'!G28="","Published",'Fixtures Input'!G28))</f>
        <v/>
      </c>
    </row>
    <row r="26" spans="3:12" x14ac:dyDescent="0.2">
      <c r="C26" s="9" t="str">
        <f>IF('Fixtures Input'!A29="","",'Fixtures Input'!A29)</f>
        <v/>
      </c>
      <c r="D26" s="4" t="str">
        <f t="shared" si="0"/>
        <v/>
      </c>
      <c r="F26" s="10" t="str">
        <f>IF('Fixtures Input'!C29="","",'Fixtures Input'!C29)</f>
        <v/>
      </c>
      <c r="G26" s="4" t="str">
        <f>IF('Fixtures Input'!D29="","",'Fixtures Input'!D29)</f>
        <v/>
      </c>
      <c r="H26" s="4" t="str">
        <f>IF('Fixtures Input'!E29="","",'Fixtures Input'!E29)</f>
        <v/>
      </c>
      <c r="I26" s="4" t="str">
        <f>IF('Fixtures Input'!F29="","",'Fixtures Input'!F29)</f>
        <v/>
      </c>
      <c r="L26" s="4" t="str">
        <f>IF('Fixtures Input'!A29="","",IF('Fixtures Input'!G29="","Published",'Fixtures Input'!G29))</f>
        <v/>
      </c>
    </row>
    <row r="27" spans="3:12" x14ac:dyDescent="0.2">
      <c r="C27" s="9" t="str">
        <f>IF('Fixtures Input'!A30="","",'Fixtures Input'!A30)</f>
        <v/>
      </c>
      <c r="D27" s="4" t="str">
        <f t="shared" si="0"/>
        <v/>
      </c>
      <c r="F27" s="10" t="str">
        <f>IF('Fixtures Input'!C30="","",'Fixtures Input'!C30)</f>
        <v/>
      </c>
      <c r="G27" s="4" t="str">
        <f>IF('Fixtures Input'!D30="","",'Fixtures Input'!D30)</f>
        <v/>
      </c>
      <c r="H27" s="4" t="str">
        <f>IF('Fixtures Input'!E30="","",'Fixtures Input'!E30)</f>
        <v/>
      </c>
      <c r="I27" s="4" t="str">
        <f>IF('Fixtures Input'!F30="","",'Fixtures Input'!F30)</f>
        <v/>
      </c>
      <c r="L27" s="4" t="str">
        <f>IF('Fixtures Input'!A30="","",IF('Fixtures Input'!G30="","Published",'Fixtures Input'!G30))</f>
        <v/>
      </c>
    </row>
    <row r="28" spans="3:12" x14ac:dyDescent="0.2">
      <c r="C28" s="9" t="str">
        <f>IF('Fixtures Input'!A31="","",'Fixtures Input'!A31)</f>
        <v/>
      </c>
      <c r="D28" s="4" t="str">
        <f t="shared" si="0"/>
        <v/>
      </c>
      <c r="F28" s="10" t="str">
        <f>IF('Fixtures Input'!C31="","",'Fixtures Input'!C31)</f>
        <v/>
      </c>
      <c r="G28" s="4" t="str">
        <f>IF('Fixtures Input'!D31="","",'Fixtures Input'!D31)</f>
        <v/>
      </c>
      <c r="H28" s="4" t="str">
        <f>IF('Fixtures Input'!E31="","",'Fixtures Input'!E31)</f>
        <v/>
      </c>
      <c r="I28" s="4" t="str">
        <f>IF('Fixtures Input'!F31="","",'Fixtures Input'!F31)</f>
        <v/>
      </c>
      <c r="L28" s="4" t="str">
        <f>IF('Fixtures Input'!A31="","",IF('Fixtures Input'!G31="","Published",'Fixtures Input'!G31))</f>
        <v/>
      </c>
    </row>
    <row r="29" spans="3:12" x14ac:dyDescent="0.2">
      <c r="C29" s="9" t="str">
        <f>IF('Fixtures Input'!A32="","",'Fixtures Input'!A32)</f>
        <v/>
      </c>
      <c r="D29" s="4" t="str">
        <f t="shared" si="0"/>
        <v/>
      </c>
      <c r="F29" s="10" t="str">
        <f>IF('Fixtures Input'!C32="","",'Fixtures Input'!C32)</f>
        <v/>
      </c>
      <c r="G29" s="4" t="str">
        <f>IF('Fixtures Input'!D32="","",'Fixtures Input'!D32)</f>
        <v/>
      </c>
      <c r="H29" s="4" t="str">
        <f>IF('Fixtures Input'!E32="","",'Fixtures Input'!E32)</f>
        <v/>
      </c>
      <c r="I29" s="4" t="str">
        <f>IF('Fixtures Input'!F32="","",'Fixtures Input'!F32)</f>
        <v/>
      </c>
      <c r="L29" s="4" t="str">
        <f>IF('Fixtures Input'!A32="","",IF('Fixtures Input'!G32="","Published",'Fixtures Input'!G32))</f>
        <v/>
      </c>
    </row>
    <row r="30" spans="3:12" x14ac:dyDescent="0.2">
      <c r="C30" s="9" t="str">
        <f>IF('Fixtures Input'!A33="","",'Fixtures Input'!A33)</f>
        <v/>
      </c>
      <c r="D30" s="4" t="str">
        <f t="shared" si="0"/>
        <v/>
      </c>
      <c r="F30" s="10" t="str">
        <f>IF('Fixtures Input'!C33="","",'Fixtures Input'!C33)</f>
        <v/>
      </c>
      <c r="G30" s="4" t="str">
        <f>IF('Fixtures Input'!D33="","",'Fixtures Input'!D33)</f>
        <v/>
      </c>
      <c r="H30" s="4" t="str">
        <f>IF('Fixtures Input'!E33="","",'Fixtures Input'!E33)</f>
        <v/>
      </c>
      <c r="I30" s="4" t="str">
        <f>IF('Fixtures Input'!F33="","",'Fixtures Input'!F33)</f>
        <v/>
      </c>
      <c r="L30" s="4" t="str">
        <f>IF('Fixtures Input'!A33="","",IF('Fixtures Input'!G33="","Published",'Fixtures Input'!G33))</f>
        <v/>
      </c>
    </row>
    <row r="31" spans="3:12" x14ac:dyDescent="0.2">
      <c r="C31" s="9" t="str">
        <f>IF('Fixtures Input'!A34="","",'Fixtures Input'!A34)</f>
        <v/>
      </c>
      <c r="D31" s="4" t="str">
        <f t="shared" si="0"/>
        <v/>
      </c>
      <c r="F31" s="10" t="str">
        <f>IF('Fixtures Input'!C34="","",'Fixtures Input'!C34)</f>
        <v/>
      </c>
      <c r="G31" s="4" t="str">
        <f>IF('Fixtures Input'!D34="","",'Fixtures Input'!D34)</f>
        <v/>
      </c>
      <c r="H31" s="4" t="str">
        <f>IF('Fixtures Input'!E34="","",'Fixtures Input'!E34)</f>
        <v/>
      </c>
      <c r="I31" s="4" t="str">
        <f>IF('Fixtures Input'!F34="","",'Fixtures Input'!F34)</f>
        <v/>
      </c>
      <c r="L31" s="4" t="str">
        <f>IF('Fixtures Input'!A34="","",IF('Fixtures Input'!G34="","Published",'Fixtures Input'!G34))</f>
        <v/>
      </c>
    </row>
    <row r="32" spans="3:12" x14ac:dyDescent="0.2">
      <c r="C32" s="9" t="str">
        <f>IF('Fixtures Input'!A35="","",'Fixtures Input'!A35)</f>
        <v/>
      </c>
      <c r="D32" s="4" t="str">
        <f t="shared" si="0"/>
        <v/>
      </c>
      <c r="F32" s="10" t="str">
        <f>IF('Fixtures Input'!C35="","",'Fixtures Input'!C35)</f>
        <v/>
      </c>
      <c r="G32" s="4" t="str">
        <f>IF('Fixtures Input'!D35="","",'Fixtures Input'!D35)</f>
        <v/>
      </c>
      <c r="H32" s="4" t="str">
        <f>IF('Fixtures Input'!E35="","",'Fixtures Input'!E35)</f>
        <v/>
      </c>
      <c r="I32" s="4" t="str">
        <f>IF('Fixtures Input'!F35="","",'Fixtures Input'!F35)</f>
        <v/>
      </c>
      <c r="L32" s="4" t="str">
        <f>IF('Fixtures Input'!A35="","",IF('Fixtures Input'!G35="","Published",'Fixtures Input'!G35))</f>
        <v/>
      </c>
    </row>
    <row r="33" spans="3:12" x14ac:dyDescent="0.2">
      <c r="C33" s="9" t="str">
        <f>IF('Fixtures Input'!A36="","",'Fixtures Input'!A36)</f>
        <v/>
      </c>
      <c r="D33" s="4" t="str">
        <f t="shared" si="0"/>
        <v/>
      </c>
      <c r="F33" s="10" t="str">
        <f>IF('Fixtures Input'!C36="","",'Fixtures Input'!C36)</f>
        <v/>
      </c>
      <c r="G33" s="4" t="str">
        <f>IF('Fixtures Input'!D36="","",'Fixtures Input'!D36)</f>
        <v/>
      </c>
      <c r="H33" s="4" t="str">
        <f>IF('Fixtures Input'!E36="","",'Fixtures Input'!E36)</f>
        <v/>
      </c>
      <c r="I33" s="4" t="str">
        <f>IF('Fixtures Input'!F36="","",'Fixtures Input'!F36)</f>
        <v/>
      </c>
      <c r="L33" s="4" t="str">
        <f>IF('Fixtures Input'!A36="","",IF('Fixtures Input'!G36="","Published",'Fixtures Input'!G36))</f>
        <v/>
      </c>
    </row>
    <row r="34" spans="3:12" x14ac:dyDescent="0.2">
      <c r="C34" s="9" t="str">
        <f>IF('Fixtures Input'!A37="","",'Fixtures Input'!A37)</f>
        <v/>
      </c>
      <c r="D34" s="4" t="str">
        <f t="shared" ref="D34:D65" si="1">IF(C34="","",TEXT(C34,"ddd"))</f>
        <v/>
      </c>
      <c r="F34" s="10" t="str">
        <f>IF('Fixtures Input'!C37="","",'Fixtures Input'!C37)</f>
        <v/>
      </c>
      <c r="G34" s="4" t="str">
        <f>IF('Fixtures Input'!D37="","",'Fixtures Input'!D37)</f>
        <v/>
      </c>
      <c r="H34" s="4" t="str">
        <f>IF('Fixtures Input'!E37="","",'Fixtures Input'!E37)</f>
        <v/>
      </c>
      <c r="I34" s="4" t="str">
        <f>IF('Fixtures Input'!F37="","",'Fixtures Input'!F37)</f>
        <v/>
      </c>
      <c r="L34" s="4" t="str">
        <f>IF('Fixtures Input'!A37="","",IF('Fixtures Input'!G37="","Published",'Fixtures Input'!G37))</f>
        <v/>
      </c>
    </row>
    <row r="35" spans="3:12" x14ac:dyDescent="0.2">
      <c r="C35" s="9" t="str">
        <f>IF('Fixtures Input'!A38="","",'Fixtures Input'!A38)</f>
        <v/>
      </c>
      <c r="D35" s="4" t="str">
        <f t="shared" si="1"/>
        <v/>
      </c>
      <c r="F35" s="10" t="str">
        <f>IF('Fixtures Input'!C38="","",'Fixtures Input'!C38)</f>
        <v/>
      </c>
      <c r="G35" s="4" t="str">
        <f>IF('Fixtures Input'!D38="","",'Fixtures Input'!D38)</f>
        <v/>
      </c>
      <c r="H35" s="4" t="str">
        <f>IF('Fixtures Input'!E38="","",'Fixtures Input'!E38)</f>
        <v/>
      </c>
      <c r="I35" s="4" t="str">
        <f>IF('Fixtures Input'!F38="","",'Fixtures Input'!F38)</f>
        <v/>
      </c>
      <c r="L35" s="4" t="str">
        <f>IF('Fixtures Input'!A38="","",IF('Fixtures Input'!G38="","Published",'Fixtures Input'!G38))</f>
        <v/>
      </c>
    </row>
    <row r="36" spans="3:12" x14ac:dyDescent="0.2">
      <c r="C36" s="9" t="str">
        <f>IF('Fixtures Input'!A39="","",'Fixtures Input'!A39)</f>
        <v/>
      </c>
      <c r="D36" s="4" t="str">
        <f t="shared" si="1"/>
        <v/>
      </c>
      <c r="F36" s="10" t="str">
        <f>IF('Fixtures Input'!C39="","",'Fixtures Input'!C39)</f>
        <v/>
      </c>
      <c r="G36" s="4" t="str">
        <f>IF('Fixtures Input'!D39="","",'Fixtures Input'!D39)</f>
        <v/>
      </c>
      <c r="H36" s="4" t="str">
        <f>IF('Fixtures Input'!E39="","",'Fixtures Input'!E39)</f>
        <v/>
      </c>
      <c r="I36" s="4" t="str">
        <f>IF('Fixtures Input'!F39="","",'Fixtures Input'!F39)</f>
        <v/>
      </c>
      <c r="L36" s="4" t="str">
        <f>IF('Fixtures Input'!A39="","",IF('Fixtures Input'!G39="","Published",'Fixtures Input'!G39))</f>
        <v/>
      </c>
    </row>
    <row r="37" spans="3:12" x14ac:dyDescent="0.2">
      <c r="C37" s="9" t="str">
        <f>IF('Fixtures Input'!A40="","",'Fixtures Input'!A40)</f>
        <v/>
      </c>
      <c r="D37" s="4" t="str">
        <f t="shared" si="1"/>
        <v/>
      </c>
      <c r="F37" s="10" t="str">
        <f>IF('Fixtures Input'!C40="","",'Fixtures Input'!C40)</f>
        <v/>
      </c>
      <c r="G37" s="4" t="str">
        <f>IF('Fixtures Input'!D40="","",'Fixtures Input'!D40)</f>
        <v/>
      </c>
      <c r="H37" s="4" t="str">
        <f>IF('Fixtures Input'!E40="","",'Fixtures Input'!E40)</f>
        <v/>
      </c>
      <c r="I37" s="4" t="str">
        <f>IF('Fixtures Input'!F40="","",'Fixtures Input'!F40)</f>
        <v/>
      </c>
      <c r="L37" s="4" t="str">
        <f>IF('Fixtures Input'!A40="","",IF('Fixtures Input'!G40="","Published",'Fixtures Input'!G40))</f>
        <v/>
      </c>
    </row>
    <row r="38" spans="3:12" x14ac:dyDescent="0.2">
      <c r="C38" s="9" t="str">
        <f>IF('Fixtures Input'!A41="","",'Fixtures Input'!A41)</f>
        <v/>
      </c>
      <c r="D38" s="4" t="str">
        <f t="shared" si="1"/>
        <v/>
      </c>
      <c r="F38" s="10" t="str">
        <f>IF('Fixtures Input'!C41="","",'Fixtures Input'!C41)</f>
        <v/>
      </c>
      <c r="G38" s="4" t="str">
        <f>IF('Fixtures Input'!D41="","",'Fixtures Input'!D41)</f>
        <v/>
      </c>
      <c r="H38" s="4" t="str">
        <f>IF('Fixtures Input'!E41="","",'Fixtures Input'!E41)</f>
        <v/>
      </c>
      <c r="I38" s="4" t="str">
        <f>IF('Fixtures Input'!F41="","",'Fixtures Input'!F41)</f>
        <v/>
      </c>
      <c r="L38" s="4" t="str">
        <f>IF('Fixtures Input'!A41="","",IF('Fixtures Input'!G41="","Published",'Fixtures Input'!G41))</f>
        <v/>
      </c>
    </row>
    <row r="39" spans="3:12" x14ac:dyDescent="0.2">
      <c r="C39" s="9" t="str">
        <f>IF('Fixtures Input'!A42="","",'Fixtures Input'!A42)</f>
        <v/>
      </c>
      <c r="D39" s="4" t="str">
        <f t="shared" si="1"/>
        <v/>
      </c>
      <c r="F39" s="10" t="str">
        <f>IF('Fixtures Input'!C42="","",'Fixtures Input'!C42)</f>
        <v/>
      </c>
      <c r="G39" s="4" t="str">
        <f>IF('Fixtures Input'!D42="","",'Fixtures Input'!D42)</f>
        <v/>
      </c>
      <c r="H39" s="4" t="str">
        <f>IF('Fixtures Input'!E42="","",'Fixtures Input'!E42)</f>
        <v/>
      </c>
      <c r="I39" s="4" t="str">
        <f>IF('Fixtures Input'!F42="","",'Fixtures Input'!F42)</f>
        <v/>
      </c>
      <c r="L39" s="4" t="str">
        <f>IF('Fixtures Input'!A42="","",IF('Fixtures Input'!G42="","Published",'Fixtures Input'!G42))</f>
        <v/>
      </c>
    </row>
    <row r="40" spans="3:12" x14ac:dyDescent="0.2">
      <c r="C40" s="9" t="str">
        <f>IF('Fixtures Input'!A43="","",'Fixtures Input'!A43)</f>
        <v/>
      </c>
      <c r="D40" s="4" t="str">
        <f t="shared" si="1"/>
        <v/>
      </c>
      <c r="F40" s="10" t="str">
        <f>IF('Fixtures Input'!C43="","",'Fixtures Input'!C43)</f>
        <v/>
      </c>
      <c r="G40" s="4" t="str">
        <f>IF('Fixtures Input'!D43="","",'Fixtures Input'!D43)</f>
        <v/>
      </c>
      <c r="H40" s="4" t="str">
        <f>IF('Fixtures Input'!E43="","",'Fixtures Input'!E43)</f>
        <v/>
      </c>
      <c r="I40" s="4" t="str">
        <f>IF('Fixtures Input'!F43="","",'Fixtures Input'!F43)</f>
        <v/>
      </c>
      <c r="L40" s="4" t="str">
        <f>IF('Fixtures Input'!A43="","",IF('Fixtures Input'!G43="","Published",'Fixtures Input'!G43))</f>
        <v/>
      </c>
    </row>
    <row r="41" spans="3:12" x14ac:dyDescent="0.2">
      <c r="C41" s="9" t="str">
        <f>IF('Fixtures Input'!A44="","",'Fixtures Input'!A44)</f>
        <v/>
      </c>
      <c r="D41" s="4" t="str">
        <f t="shared" si="1"/>
        <v/>
      </c>
      <c r="F41" s="10" t="str">
        <f>IF('Fixtures Input'!C44="","",'Fixtures Input'!C44)</f>
        <v/>
      </c>
      <c r="G41" s="4" t="str">
        <f>IF('Fixtures Input'!D44="","",'Fixtures Input'!D44)</f>
        <v/>
      </c>
      <c r="H41" s="4" t="str">
        <f>IF('Fixtures Input'!E44="","",'Fixtures Input'!E44)</f>
        <v/>
      </c>
      <c r="I41" s="4" t="str">
        <f>IF('Fixtures Input'!F44="","",'Fixtures Input'!F44)</f>
        <v/>
      </c>
      <c r="L41" s="4" t="str">
        <f>IF('Fixtures Input'!A44="","",IF('Fixtures Input'!G44="","Published",'Fixtures Input'!G44))</f>
        <v/>
      </c>
    </row>
    <row r="42" spans="3:12" x14ac:dyDescent="0.2">
      <c r="C42" s="9" t="str">
        <f>IF('Fixtures Input'!A45="","",'Fixtures Input'!A45)</f>
        <v/>
      </c>
      <c r="D42" s="4" t="str">
        <f t="shared" si="1"/>
        <v/>
      </c>
      <c r="F42" s="10" t="str">
        <f>IF('Fixtures Input'!C45="","",'Fixtures Input'!C45)</f>
        <v/>
      </c>
      <c r="G42" s="4" t="str">
        <f>IF('Fixtures Input'!D45="","",'Fixtures Input'!D45)</f>
        <v/>
      </c>
      <c r="H42" s="4" t="str">
        <f>IF('Fixtures Input'!E45="","",'Fixtures Input'!E45)</f>
        <v/>
      </c>
      <c r="I42" s="4" t="str">
        <f>IF('Fixtures Input'!F45="","",'Fixtures Input'!F45)</f>
        <v/>
      </c>
      <c r="L42" s="4" t="str">
        <f>IF('Fixtures Input'!A45="","",IF('Fixtures Input'!G45="","Published",'Fixtures Input'!G45))</f>
        <v/>
      </c>
    </row>
    <row r="43" spans="3:12" x14ac:dyDescent="0.2">
      <c r="C43" s="9" t="str">
        <f>IF('Fixtures Input'!A46="","",'Fixtures Input'!A46)</f>
        <v/>
      </c>
      <c r="D43" s="4" t="str">
        <f t="shared" si="1"/>
        <v/>
      </c>
      <c r="F43" s="10" t="str">
        <f>IF('Fixtures Input'!C46="","",'Fixtures Input'!C46)</f>
        <v/>
      </c>
      <c r="G43" s="4" t="str">
        <f>IF('Fixtures Input'!D46="","",'Fixtures Input'!D46)</f>
        <v/>
      </c>
      <c r="H43" s="4" t="str">
        <f>IF('Fixtures Input'!E46="","",'Fixtures Input'!E46)</f>
        <v/>
      </c>
      <c r="I43" s="4" t="str">
        <f>IF('Fixtures Input'!F46="","",'Fixtures Input'!F46)</f>
        <v/>
      </c>
      <c r="L43" s="4" t="str">
        <f>IF('Fixtures Input'!A46="","",IF('Fixtures Input'!G46="","Published",'Fixtures Input'!G46))</f>
        <v/>
      </c>
    </row>
    <row r="44" spans="3:12" x14ac:dyDescent="0.2">
      <c r="C44" s="9" t="str">
        <f>IF('Fixtures Input'!A47="","",'Fixtures Input'!A47)</f>
        <v/>
      </c>
      <c r="D44" s="4" t="str">
        <f t="shared" si="1"/>
        <v/>
      </c>
      <c r="F44" s="10" t="str">
        <f>IF('Fixtures Input'!C47="","",'Fixtures Input'!C47)</f>
        <v/>
      </c>
      <c r="G44" s="4" t="str">
        <f>IF('Fixtures Input'!D47="","",'Fixtures Input'!D47)</f>
        <v/>
      </c>
      <c r="H44" s="4" t="str">
        <f>IF('Fixtures Input'!E47="","",'Fixtures Input'!E47)</f>
        <v/>
      </c>
      <c r="I44" s="4" t="str">
        <f>IF('Fixtures Input'!F47="","",'Fixtures Input'!F47)</f>
        <v/>
      </c>
      <c r="L44" s="4" t="str">
        <f>IF('Fixtures Input'!A47="","",IF('Fixtures Input'!G47="","Published",'Fixtures Input'!G47))</f>
        <v/>
      </c>
    </row>
    <row r="45" spans="3:12" x14ac:dyDescent="0.2">
      <c r="C45" s="9" t="str">
        <f>IF('Fixtures Input'!A48="","",'Fixtures Input'!A48)</f>
        <v/>
      </c>
      <c r="D45" s="4" t="str">
        <f t="shared" si="1"/>
        <v/>
      </c>
      <c r="F45" s="10" t="str">
        <f>IF('Fixtures Input'!C48="","",'Fixtures Input'!C48)</f>
        <v/>
      </c>
      <c r="G45" s="4" t="str">
        <f>IF('Fixtures Input'!D48="","",'Fixtures Input'!D48)</f>
        <v/>
      </c>
      <c r="H45" s="4" t="str">
        <f>IF('Fixtures Input'!E48="","",'Fixtures Input'!E48)</f>
        <v/>
      </c>
      <c r="I45" s="4" t="str">
        <f>IF('Fixtures Input'!F48="","",'Fixtures Input'!F48)</f>
        <v/>
      </c>
      <c r="L45" s="4" t="str">
        <f>IF('Fixtures Input'!A48="","",IF('Fixtures Input'!G48="","Published",'Fixtures Input'!G48))</f>
        <v/>
      </c>
    </row>
    <row r="46" spans="3:12" x14ac:dyDescent="0.2">
      <c r="C46" s="9" t="str">
        <f>IF('Fixtures Input'!A49="","",'Fixtures Input'!A49)</f>
        <v/>
      </c>
      <c r="D46" s="4" t="str">
        <f t="shared" si="1"/>
        <v/>
      </c>
      <c r="F46" s="10" t="str">
        <f>IF('Fixtures Input'!C49="","",'Fixtures Input'!C49)</f>
        <v/>
      </c>
      <c r="G46" s="4" t="str">
        <f>IF('Fixtures Input'!D49="","",'Fixtures Input'!D49)</f>
        <v/>
      </c>
      <c r="H46" s="4" t="str">
        <f>IF('Fixtures Input'!E49="","",'Fixtures Input'!E49)</f>
        <v/>
      </c>
      <c r="I46" s="4" t="str">
        <f>IF('Fixtures Input'!F49="","",'Fixtures Input'!F49)</f>
        <v/>
      </c>
      <c r="L46" s="4" t="str">
        <f>IF('Fixtures Input'!A49="","",IF('Fixtures Input'!G49="","Published",'Fixtures Input'!G49))</f>
        <v/>
      </c>
    </row>
    <row r="47" spans="3:12" x14ac:dyDescent="0.2">
      <c r="C47" s="9" t="str">
        <f>IF('Fixtures Input'!A50="","",'Fixtures Input'!A50)</f>
        <v/>
      </c>
      <c r="D47" s="4" t="str">
        <f t="shared" si="1"/>
        <v/>
      </c>
      <c r="F47" s="10" t="str">
        <f>IF('Fixtures Input'!C50="","",'Fixtures Input'!C50)</f>
        <v/>
      </c>
      <c r="G47" s="4" t="str">
        <f>IF('Fixtures Input'!D50="","",'Fixtures Input'!D50)</f>
        <v/>
      </c>
      <c r="H47" s="4" t="str">
        <f>IF('Fixtures Input'!E50="","",'Fixtures Input'!E50)</f>
        <v/>
      </c>
      <c r="I47" s="4" t="str">
        <f>IF('Fixtures Input'!F50="","",'Fixtures Input'!F50)</f>
        <v/>
      </c>
      <c r="L47" s="4" t="str">
        <f>IF('Fixtures Input'!A50="","",IF('Fixtures Input'!G50="","Published",'Fixtures Input'!G50))</f>
        <v/>
      </c>
    </row>
    <row r="48" spans="3:12" x14ac:dyDescent="0.2">
      <c r="C48" s="9" t="str">
        <f>IF('Fixtures Input'!A51="","",'Fixtures Input'!A51)</f>
        <v/>
      </c>
      <c r="D48" s="4" t="str">
        <f t="shared" si="1"/>
        <v/>
      </c>
      <c r="F48" s="10" t="str">
        <f>IF('Fixtures Input'!C51="","",'Fixtures Input'!C51)</f>
        <v/>
      </c>
      <c r="G48" s="4" t="str">
        <f>IF('Fixtures Input'!D51="","",'Fixtures Input'!D51)</f>
        <v/>
      </c>
      <c r="H48" s="4" t="str">
        <f>IF('Fixtures Input'!E51="","",'Fixtures Input'!E51)</f>
        <v/>
      </c>
      <c r="I48" s="4" t="str">
        <f>IF('Fixtures Input'!F51="","",'Fixtures Input'!F51)</f>
        <v/>
      </c>
      <c r="L48" s="4" t="str">
        <f>IF('Fixtures Input'!A51="","",IF('Fixtures Input'!G51="","Published",'Fixtures Input'!G51))</f>
        <v/>
      </c>
    </row>
    <row r="49" spans="3:12" x14ac:dyDescent="0.2">
      <c r="C49" s="9" t="str">
        <f>IF('Fixtures Input'!A52="","",'Fixtures Input'!A52)</f>
        <v/>
      </c>
      <c r="D49" s="4" t="str">
        <f t="shared" si="1"/>
        <v/>
      </c>
      <c r="F49" s="10" t="str">
        <f>IF('Fixtures Input'!C52="","",'Fixtures Input'!C52)</f>
        <v/>
      </c>
      <c r="G49" s="4" t="str">
        <f>IF('Fixtures Input'!D52="","",'Fixtures Input'!D52)</f>
        <v/>
      </c>
      <c r="H49" s="4" t="str">
        <f>IF('Fixtures Input'!E52="","",'Fixtures Input'!E52)</f>
        <v/>
      </c>
      <c r="I49" s="4" t="str">
        <f>IF('Fixtures Input'!F52="","",'Fixtures Input'!F52)</f>
        <v/>
      </c>
      <c r="L49" s="4" t="str">
        <f>IF('Fixtures Input'!A52="","",IF('Fixtures Input'!G52="","Published",'Fixtures Input'!G52))</f>
        <v/>
      </c>
    </row>
    <row r="50" spans="3:12" x14ac:dyDescent="0.2">
      <c r="C50" s="9" t="str">
        <f>IF('Fixtures Input'!A53="","",'Fixtures Input'!A53)</f>
        <v/>
      </c>
      <c r="D50" s="4" t="str">
        <f t="shared" si="1"/>
        <v/>
      </c>
      <c r="F50" s="10" t="str">
        <f>IF('Fixtures Input'!C53="","",'Fixtures Input'!C53)</f>
        <v/>
      </c>
      <c r="G50" s="4" t="str">
        <f>IF('Fixtures Input'!D53="","",'Fixtures Input'!D53)</f>
        <v/>
      </c>
      <c r="H50" s="4" t="str">
        <f>IF('Fixtures Input'!E53="","",'Fixtures Input'!E53)</f>
        <v/>
      </c>
      <c r="I50" s="4" t="str">
        <f>IF('Fixtures Input'!F53="","",'Fixtures Input'!F53)</f>
        <v/>
      </c>
      <c r="L50" s="4" t="str">
        <f>IF('Fixtures Input'!A53="","",IF('Fixtures Input'!G53="","Published",'Fixtures Input'!G53))</f>
        <v/>
      </c>
    </row>
    <row r="51" spans="3:12" x14ac:dyDescent="0.2">
      <c r="C51" s="9" t="str">
        <f>IF('Fixtures Input'!A54="","",'Fixtures Input'!A54)</f>
        <v/>
      </c>
      <c r="D51" s="4" t="str">
        <f t="shared" si="1"/>
        <v/>
      </c>
      <c r="F51" s="10" t="str">
        <f>IF('Fixtures Input'!C54="","",'Fixtures Input'!C54)</f>
        <v/>
      </c>
      <c r="G51" s="4" t="str">
        <f>IF('Fixtures Input'!D54="","",'Fixtures Input'!D54)</f>
        <v/>
      </c>
      <c r="H51" s="4" t="str">
        <f>IF('Fixtures Input'!E54="","",'Fixtures Input'!E54)</f>
        <v/>
      </c>
      <c r="I51" s="4" t="str">
        <f>IF('Fixtures Input'!F54="","",'Fixtures Input'!F54)</f>
        <v/>
      </c>
      <c r="L51" s="4" t="str">
        <f>IF('Fixtures Input'!A54="","",IF('Fixtures Input'!G54="","Published",'Fixtures Input'!G54))</f>
        <v/>
      </c>
    </row>
    <row r="52" spans="3:12" x14ac:dyDescent="0.2">
      <c r="C52" s="9" t="str">
        <f>IF('Fixtures Input'!A55="","",'Fixtures Input'!A55)</f>
        <v/>
      </c>
      <c r="D52" s="4" t="str">
        <f t="shared" si="1"/>
        <v/>
      </c>
      <c r="F52" s="10" t="str">
        <f>IF('Fixtures Input'!C55="","",'Fixtures Input'!C55)</f>
        <v/>
      </c>
      <c r="G52" s="4" t="str">
        <f>IF('Fixtures Input'!D55="","",'Fixtures Input'!D55)</f>
        <v/>
      </c>
      <c r="H52" s="4" t="str">
        <f>IF('Fixtures Input'!E55="","",'Fixtures Input'!E55)</f>
        <v/>
      </c>
      <c r="I52" s="4" t="str">
        <f>IF('Fixtures Input'!F55="","",'Fixtures Input'!F55)</f>
        <v/>
      </c>
      <c r="L52" s="4" t="str">
        <f>IF('Fixtures Input'!A55="","",IF('Fixtures Input'!G55="","Published",'Fixtures Input'!G55))</f>
        <v/>
      </c>
    </row>
    <row r="53" spans="3:12" x14ac:dyDescent="0.2">
      <c r="C53" s="9" t="str">
        <f>IF('Fixtures Input'!A56="","",'Fixtures Input'!A56)</f>
        <v/>
      </c>
      <c r="D53" s="4" t="str">
        <f t="shared" si="1"/>
        <v/>
      </c>
      <c r="F53" s="10" t="str">
        <f>IF('Fixtures Input'!C56="","",'Fixtures Input'!C56)</f>
        <v/>
      </c>
      <c r="G53" s="4" t="str">
        <f>IF('Fixtures Input'!D56="","",'Fixtures Input'!D56)</f>
        <v/>
      </c>
      <c r="H53" s="4" t="str">
        <f>IF('Fixtures Input'!E56="","",'Fixtures Input'!E56)</f>
        <v/>
      </c>
      <c r="I53" s="4" t="str">
        <f>IF('Fixtures Input'!F56="","",'Fixtures Input'!F56)</f>
        <v/>
      </c>
      <c r="L53" s="4" t="str">
        <f>IF('Fixtures Input'!A56="","",IF('Fixtures Input'!G56="","Published",'Fixtures Input'!G56))</f>
        <v/>
      </c>
    </row>
    <row r="54" spans="3:12" x14ac:dyDescent="0.2">
      <c r="C54" s="9" t="str">
        <f>IF('Fixtures Input'!A57="","",'Fixtures Input'!A57)</f>
        <v/>
      </c>
      <c r="D54" s="4" t="str">
        <f t="shared" si="1"/>
        <v/>
      </c>
      <c r="F54" s="10" t="str">
        <f>IF('Fixtures Input'!C57="","",'Fixtures Input'!C57)</f>
        <v/>
      </c>
      <c r="G54" s="4" t="str">
        <f>IF('Fixtures Input'!D57="","",'Fixtures Input'!D57)</f>
        <v/>
      </c>
      <c r="H54" s="4" t="str">
        <f>IF('Fixtures Input'!E57="","",'Fixtures Input'!E57)</f>
        <v/>
      </c>
      <c r="I54" s="4" t="str">
        <f>IF('Fixtures Input'!F57="","",'Fixtures Input'!F57)</f>
        <v/>
      </c>
      <c r="L54" s="4" t="str">
        <f>IF('Fixtures Input'!A57="","",IF('Fixtures Input'!G57="","Published",'Fixtures Input'!G57))</f>
        <v/>
      </c>
    </row>
    <row r="55" spans="3:12" x14ac:dyDescent="0.2">
      <c r="C55" s="9" t="str">
        <f>IF('Fixtures Input'!A58="","",'Fixtures Input'!A58)</f>
        <v/>
      </c>
      <c r="D55" s="4" t="str">
        <f t="shared" si="1"/>
        <v/>
      </c>
      <c r="F55" s="10" t="str">
        <f>IF('Fixtures Input'!C58="","",'Fixtures Input'!C58)</f>
        <v/>
      </c>
      <c r="G55" s="4" t="str">
        <f>IF('Fixtures Input'!D58="","",'Fixtures Input'!D58)</f>
        <v/>
      </c>
      <c r="H55" s="4" t="str">
        <f>IF('Fixtures Input'!E58="","",'Fixtures Input'!E58)</f>
        <v/>
      </c>
      <c r="I55" s="4" t="str">
        <f>IF('Fixtures Input'!F58="","",'Fixtures Input'!F58)</f>
        <v/>
      </c>
      <c r="L55" s="4" t="str">
        <f>IF('Fixtures Input'!A58="","",IF('Fixtures Input'!G58="","Published",'Fixtures Input'!G58))</f>
        <v/>
      </c>
    </row>
    <row r="56" spans="3:12" x14ac:dyDescent="0.2">
      <c r="C56" s="9" t="str">
        <f>IF('Fixtures Input'!A59="","",'Fixtures Input'!A59)</f>
        <v/>
      </c>
      <c r="D56" s="4" t="str">
        <f t="shared" si="1"/>
        <v/>
      </c>
      <c r="F56" s="10" t="str">
        <f>IF('Fixtures Input'!C59="","",'Fixtures Input'!C59)</f>
        <v/>
      </c>
      <c r="G56" s="4" t="str">
        <f>IF('Fixtures Input'!D59="","",'Fixtures Input'!D59)</f>
        <v/>
      </c>
      <c r="H56" s="4" t="str">
        <f>IF('Fixtures Input'!E59="","",'Fixtures Input'!E59)</f>
        <v/>
      </c>
      <c r="I56" s="4" t="str">
        <f>IF('Fixtures Input'!F59="","",'Fixtures Input'!F59)</f>
        <v/>
      </c>
      <c r="L56" s="4" t="str">
        <f>IF('Fixtures Input'!A59="","",IF('Fixtures Input'!G59="","Published",'Fixtures Input'!G59))</f>
        <v/>
      </c>
    </row>
    <row r="57" spans="3:12" x14ac:dyDescent="0.2">
      <c r="C57" s="9" t="str">
        <f>IF('Fixtures Input'!A60="","",'Fixtures Input'!A60)</f>
        <v/>
      </c>
      <c r="D57" s="4" t="str">
        <f t="shared" si="1"/>
        <v/>
      </c>
      <c r="F57" s="10" t="str">
        <f>IF('Fixtures Input'!C60="","",'Fixtures Input'!C60)</f>
        <v/>
      </c>
      <c r="G57" s="4" t="str">
        <f>IF('Fixtures Input'!D60="","",'Fixtures Input'!D60)</f>
        <v/>
      </c>
      <c r="H57" s="4" t="str">
        <f>IF('Fixtures Input'!E60="","",'Fixtures Input'!E60)</f>
        <v/>
      </c>
      <c r="I57" s="4" t="str">
        <f>IF('Fixtures Input'!F60="","",'Fixtures Input'!F60)</f>
        <v/>
      </c>
      <c r="L57" s="4" t="str">
        <f>IF('Fixtures Input'!A60="","",IF('Fixtures Input'!G60="","Published",'Fixtures Input'!G60))</f>
        <v/>
      </c>
    </row>
    <row r="58" spans="3:12" x14ac:dyDescent="0.2">
      <c r="C58" s="9" t="str">
        <f>IF('Fixtures Input'!A61="","",'Fixtures Input'!A61)</f>
        <v/>
      </c>
      <c r="D58" s="4" t="str">
        <f t="shared" si="1"/>
        <v/>
      </c>
      <c r="F58" s="10" t="str">
        <f>IF('Fixtures Input'!C61="","",'Fixtures Input'!C61)</f>
        <v/>
      </c>
      <c r="G58" s="4" t="str">
        <f>IF('Fixtures Input'!D61="","",'Fixtures Input'!D61)</f>
        <v/>
      </c>
      <c r="H58" s="4" t="str">
        <f>IF('Fixtures Input'!E61="","",'Fixtures Input'!E61)</f>
        <v/>
      </c>
      <c r="I58" s="4" t="str">
        <f>IF('Fixtures Input'!F61="","",'Fixtures Input'!F61)</f>
        <v/>
      </c>
      <c r="L58" s="4" t="str">
        <f>IF('Fixtures Input'!A61="","",IF('Fixtures Input'!G61="","Published",'Fixtures Input'!G61))</f>
        <v/>
      </c>
    </row>
    <row r="59" spans="3:12" x14ac:dyDescent="0.2">
      <c r="C59" s="9" t="str">
        <f>IF('Fixtures Input'!A62="","",'Fixtures Input'!A62)</f>
        <v/>
      </c>
      <c r="D59" s="4" t="str">
        <f t="shared" si="1"/>
        <v/>
      </c>
      <c r="F59" s="10" t="str">
        <f>IF('Fixtures Input'!C62="","",'Fixtures Input'!C62)</f>
        <v/>
      </c>
      <c r="G59" s="4" t="str">
        <f>IF('Fixtures Input'!D62="","",'Fixtures Input'!D62)</f>
        <v/>
      </c>
      <c r="H59" s="4" t="str">
        <f>IF('Fixtures Input'!E62="","",'Fixtures Input'!E62)</f>
        <v/>
      </c>
      <c r="I59" s="4" t="str">
        <f>IF('Fixtures Input'!F62="","",'Fixtures Input'!F62)</f>
        <v/>
      </c>
      <c r="L59" s="4" t="str">
        <f>IF('Fixtures Input'!A62="","",IF('Fixtures Input'!G62="","Published",'Fixtures Input'!G62))</f>
        <v/>
      </c>
    </row>
    <row r="60" spans="3:12" x14ac:dyDescent="0.2">
      <c r="C60" s="9" t="str">
        <f>IF('Fixtures Input'!A63="","",'Fixtures Input'!A63)</f>
        <v/>
      </c>
      <c r="D60" s="4" t="str">
        <f t="shared" si="1"/>
        <v/>
      </c>
      <c r="F60" s="10" t="str">
        <f>IF('Fixtures Input'!C63="","",'Fixtures Input'!C63)</f>
        <v/>
      </c>
      <c r="G60" s="4" t="str">
        <f>IF('Fixtures Input'!D63="","",'Fixtures Input'!D63)</f>
        <v/>
      </c>
      <c r="H60" s="4" t="str">
        <f>IF('Fixtures Input'!E63="","",'Fixtures Input'!E63)</f>
        <v/>
      </c>
      <c r="I60" s="4" t="str">
        <f>IF('Fixtures Input'!F63="","",'Fixtures Input'!F63)</f>
        <v/>
      </c>
      <c r="L60" s="4" t="str">
        <f>IF('Fixtures Input'!A63="","",IF('Fixtures Input'!G63="","Published",'Fixtures Input'!G63))</f>
        <v/>
      </c>
    </row>
    <row r="61" spans="3:12" x14ac:dyDescent="0.2">
      <c r="C61" s="9" t="str">
        <f>IF('Fixtures Input'!A64="","",'Fixtures Input'!A64)</f>
        <v/>
      </c>
      <c r="D61" s="4" t="str">
        <f t="shared" si="1"/>
        <v/>
      </c>
      <c r="F61" s="10" t="str">
        <f>IF('Fixtures Input'!C64="","",'Fixtures Input'!C64)</f>
        <v/>
      </c>
      <c r="G61" s="4" t="str">
        <f>IF('Fixtures Input'!D64="","",'Fixtures Input'!D64)</f>
        <v/>
      </c>
      <c r="H61" s="4" t="str">
        <f>IF('Fixtures Input'!E64="","",'Fixtures Input'!E64)</f>
        <v/>
      </c>
      <c r="I61" s="4" t="str">
        <f>IF('Fixtures Input'!F64="","",'Fixtures Input'!F64)</f>
        <v/>
      </c>
      <c r="L61" s="4" t="str">
        <f>IF('Fixtures Input'!A64="","",IF('Fixtures Input'!G64="","Published",'Fixtures Input'!G64))</f>
        <v/>
      </c>
    </row>
    <row r="62" spans="3:12" x14ac:dyDescent="0.2">
      <c r="C62" s="9" t="str">
        <f>IF('Fixtures Input'!A65="","",'Fixtures Input'!A65)</f>
        <v/>
      </c>
      <c r="D62" s="4" t="str">
        <f t="shared" si="1"/>
        <v/>
      </c>
      <c r="F62" s="10" t="str">
        <f>IF('Fixtures Input'!C65="","",'Fixtures Input'!C65)</f>
        <v/>
      </c>
      <c r="G62" s="4" t="str">
        <f>IF('Fixtures Input'!D65="","",'Fixtures Input'!D65)</f>
        <v/>
      </c>
      <c r="H62" s="4" t="str">
        <f>IF('Fixtures Input'!E65="","",'Fixtures Input'!E65)</f>
        <v/>
      </c>
      <c r="I62" s="4" t="str">
        <f>IF('Fixtures Input'!F65="","",'Fixtures Input'!F65)</f>
        <v/>
      </c>
      <c r="L62" s="4" t="str">
        <f>IF('Fixtures Input'!A65="","",IF('Fixtures Input'!G65="","Published",'Fixtures Input'!G65))</f>
        <v/>
      </c>
    </row>
    <row r="63" spans="3:12" x14ac:dyDescent="0.2">
      <c r="C63" s="9" t="str">
        <f>IF('Fixtures Input'!A66="","",'Fixtures Input'!A66)</f>
        <v/>
      </c>
      <c r="D63" s="4" t="str">
        <f t="shared" si="1"/>
        <v/>
      </c>
      <c r="F63" s="10" t="str">
        <f>IF('Fixtures Input'!C66="","",'Fixtures Input'!C66)</f>
        <v/>
      </c>
      <c r="G63" s="4" t="str">
        <f>IF('Fixtures Input'!D66="","",'Fixtures Input'!D66)</f>
        <v/>
      </c>
      <c r="H63" s="4" t="str">
        <f>IF('Fixtures Input'!E66="","",'Fixtures Input'!E66)</f>
        <v/>
      </c>
      <c r="I63" s="4" t="str">
        <f>IF('Fixtures Input'!F66="","",'Fixtures Input'!F66)</f>
        <v/>
      </c>
      <c r="L63" s="4" t="str">
        <f>IF('Fixtures Input'!A66="","",IF('Fixtures Input'!G66="","Published",'Fixtures Input'!G66))</f>
        <v/>
      </c>
    </row>
    <row r="64" spans="3:12" x14ac:dyDescent="0.2">
      <c r="C64" s="9" t="str">
        <f>IF('Fixtures Input'!A67="","",'Fixtures Input'!A67)</f>
        <v/>
      </c>
      <c r="D64" s="4" t="str">
        <f t="shared" si="1"/>
        <v/>
      </c>
      <c r="F64" s="10" t="str">
        <f>IF('Fixtures Input'!C67="","",'Fixtures Input'!C67)</f>
        <v/>
      </c>
      <c r="G64" s="4" t="str">
        <f>IF('Fixtures Input'!D67="","",'Fixtures Input'!D67)</f>
        <v/>
      </c>
      <c r="H64" s="4" t="str">
        <f>IF('Fixtures Input'!E67="","",'Fixtures Input'!E67)</f>
        <v/>
      </c>
      <c r="I64" s="4" t="str">
        <f>IF('Fixtures Input'!F67="","",'Fixtures Input'!F67)</f>
        <v/>
      </c>
      <c r="L64" s="4" t="str">
        <f>IF('Fixtures Input'!A67="","",IF('Fixtures Input'!G67="","Published",'Fixtures Input'!G67))</f>
        <v/>
      </c>
    </row>
    <row r="65" spans="3:12" x14ac:dyDescent="0.2">
      <c r="C65" s="9" t="str">
        <f>IF('Fixtures Input'!A68="","",'Fixtures Input'!A68)</f>
        <v/>
      </c>
      <c r="D65" s="4" t="str">
        <f t="shared" si="1"/>
        <v/>
      </c>
      <c r="F65" s="10" t="str">
        <f>IF('Fixtures Input'!C68="","",'Fixtures Input'!C68)</f>
        <v/>
      </c>
      <c r="G65" s="4" t="str">
        <f>IF('Fixtures Input'!D68="","",'Fixtures Input'!D68)</f>
        <v/>
      </c>
      <c r="H65" s="4" t="str">
        <f>IF('Fixtures Input'!E68="","",'Fixtures Input'!E68)</f>
        <v/>
      </c>
      <c r="I65" s="4" t="str">
        <f>IF('Fixtures Input'!F68="","",'Fixtures Input'!F68)</f>
        <v/>
      </c>
      <c r="L65" s="4" t="str">
        <f>IF('Fixtures Input'!A68="","",IF('Fixtures Input'!G68="","Published",'Fixtures Input'!G68))</f>
        <v/>
      </c>
    </row>
    <row r="66" spans="3:12" x14ac:dyDescent="0.2">
      <c r="C66" s="9" t="str">
        <f>IF('Fixtures Input'!A69="","",'Fixtures Input'!A69)</f>
        <v/>
      </c>
      <c r="D66" s="4" t="str">
        <f t="shared" ref="D66:D93" si="2">IF(C66="","",TEXT(C66,"ddd"))</f>
        <v/>
      </c>
      <c r="F66" s="10" t="str">
        <f>IF('Fixtures Input'!C69="","",'Fixtures Input'!C69)</f>
        <v/>
      </c>
      <c r="G66" s="4" t="str">
        <f>IF('Fixtures Input'!D69="","",'Fixtures Input'!D69)</f>
        <v/>
      </c>
      <c r="H66" s="4" t="str">
        <f>IF('Fixtures Input'!E69="","",'Fixtures Input'!E69)</f>
        <v/>
      </c>
      <c r="I66" s="4" t="str">
        <f>IF('Fixtures Input'!F69="","",'Fixtures Input'!F69)</f>
        <v/>
      </c>
      <c r="L66" s="4" t="str">
        <f>IF('Fixtures Input'!A69="","",IF('Fixtures Input'!G69="","Published",'Fixtures Input'!G69))</f>
        <v/>
      </c>
    </row>
    <row r="67" spans="3:12" x14ac:dyDescent="0.2">
      <c r="C67" s="9" t="str">
        <f>IF('Fixtures Input'!A70="","",'Fixtures Input'!A70)</f>
        <v/>
      </c>
      <c r="D67" s="4" t="str">
        <f t="shared" si="2"/>
        <v/>
      </c>
      <c r="F67" s="10" t="str">
        <f>IF('Fixtures Input'!C70="","",'Fixtures Input'!C70)</f>
        <v/>
      </c>
      <c r="G67" s="4" t="str">
        <f>IF('Fixtures Input'!D70="","",'Fixtures Input'!D70)</f>
        <v/>
      </c>
      <c r="H67" s="4" t="str">
        <f>IF('Fixtures Input'!E70="","",'Fixtures Input'!E70)</f>
        <v/>
      </c>
      <c r="I67" s="4" t="str">
        <f>IF('Fixtures Input'!F70="","",'Fixtures Input'!F70)</f>
        <v/>
      </c>
      <c r="L67" s="4" t="str">
        <f>IF('Fixtures Input'!A70="","",IF('Fixtures Input'!G70="","Published",'Fixtures Input'!G70))</f>
        <v/>
      </c>
    </row>
    <row r="68" spans="3:12" x14ac:dyDescent="0.2">
      <c r="C68" s="9" t="str">
        <f>IF('Fixtures Input'!A71="","",'Fixtures Input'!A71)</f>
        <v/>
      </c>
      <c r="D68" s="4" t="str">
        <f t="shared" si="2"/>
        <v/>
      </c>
      <c r="F68" s="10" t="str">
        <f>IF('Fixtures Input'!C71="","",'Fixtures Input'!C71)</f>
        <v/>
      </c>
      <c r="G68" s="4" t="str">
        <f>IF('Fixtures Input'!D71="","",'Fixtures Input'!D71)</f>
        <v/>
      </c>
      <c r="H68" s="4" t="str">
        <f>IF('Fixtures Input'!E71="","",'Fixtures Input'!E71)</f>
        <v/>
      </c>
      <c r="I68" s="4" t="str">
        <f>IF('Fixtures Input'!F71="","",'Fixtures Input'!F71)</f>
        <v/>
      </c>
      <c r="L68" s="4" t="str">
        <f>IF('Fixtures Input'!A71="","",IF('Fixtures Input'!G71="","Published",'Fixtures Input'!G71))</f>
        <v/>
      </c>
    </row>
    <row r="69" spans="3:12" x14ac:dyDescent="0.2">
      <c r="C69" s="9" t="str">
        <f>IF('Fixtures Input'!A72="","",'Fixtures Input'!A72)</f>
        <v/>
      </c>
      <c r="D69" s="4" t="str">
        <f t="shared" si="2"/>
        <v/>
      </c>
      <c r="F69" s="10" t="str">
        <f>IF('Fixtures Input'!C72="","",'Fixtures Input'!C72)</f>
        <v/>
      </c>
      <c r="G69" s="4" t="str">
        <f>IF('Fixtures Input'!D72="","",'Fixtures Input'!D72)</f>
        <v/>
      </c>
      <c r="H69" s="4" t="str">
        <f>IF('Fixtures Input'!E72="","",'Fixtures Input'!E72)</f>
        <v/>
      </c>
      <c r="I69" s="4" t="str">
        <f>IF('Fixtures Input'!F72="","",'Fixtures Input'!F72)</f>
        <v/>
      </c>
      <c r="L69" s="4" t="str">
        <f>IF('Fixtures Input'!A72="","",IF('Fixtures Input'!G72="","Published",'Fixtures Input'!G72))</f>
        <v/>
      </c>
    </row>
    <row r="70" spans="3:12" x14ac:dyDescent="0.2">
      <c r="C70" s="9" t="str">
        <f>IF('Fixtures Input'!A73="","",'Fixtures Input'!A73)</f>
        <v/>
      </c>
      <c r="D70" s="4" t="str">
        <f t="shared" si="2"/>
        <v/>
      </c>
      <c r="F70" s="10" t="str">
        <f>IF('Fixtures Input'!C73="","",'Fixtures Input'!C73)</f>
        <v/>
      </c>
      <c r="G70" s="4" t="str">
        <f>IF('Fixtures Input'!D73="","",'Fixtures Input'!D73)</f>
        <v/>
      </c>
      <c r="H70" s="4" t="str">
        <f>IF('Fixtures Input'!E73="","",'Fixtures Input'!E73)</f>
        <v/>
      </c>
      <c r="I70" s="4" t="str">
        <f>IF('Fixtures Input'!F73="","",'Fixtures Input'!F73)</f>
        <v/>
      </c>
      <c r="L70" s="4" t="str">
        <f>IF('Fixtures Input'!A73="","",IF('Fixtures Input'!G73="","Published",'Fixtures Input'!G73))</f>
        <v/>
      </c>
    </row>
    <row r="71" spans="3:12" x14ac:dyDescent="0.2">
      <c r="C71" s="9" t="str">
        <f>IF('Fixtures Input'!A74="","",'Fixtures Input'!A74)</f>
        <v/>
      </c>
      <c r="D71" s="4" t="str">
        <f t="shared" si="2"/>
        <v/>
      </c>
      <c r="F71" s="10" t="str">
        <f>IF('Fixtures Input'!C74="","",'Fixtures Input'!C74)</f>
        <v/>
      </c>
      <c r="G71" s="4" t="str">
        <f>IF('Fixtures Input'!D74="","",'Fixtures Input'!D74)</f>
        <v/>
      </c>
      <c r="H71" s="4" t="str">
        <f>IF('Fixtures Input'!E74="","",'Fixtures Input'!E74)</f>
        <v/>
      </c>
      <c r="I71" s="4" t="str">
        <f>IF('Fixtures Input'!F74="","",'Fixtures Input'!F74)</f>
        <v/>
      </c>
      <c r="L71" s="4" t="str">
        <f>IF('Fixtures Input'!A74="","",IF('Fixtures Input'!G74="","Published",'Fixtures Input'!G74))</f>
        <v/>
      </c>
    </row>
    <row r="72" spans="3:12" x14ac:dyDescent="0.2">
      <c r="C72" s="9" t="str">
        <f>IF('Fixtures Input'!A75="","",'Fixtures Input'!A75)</f>
        <v/>
      </c>
      <c r="D72" s="4" t="str">
        <f t="shared" si="2"/>
        <v/>
      </c>
      <c r="F72" s="10" t="str">
        <f>IF('Fixtures Input'!C75="","",'Fixtures Input'!C75)</f>
        <v/>
      </c>
      <c r="G72" s="4" t="str">
        <f>IF('Fixtures Input'!D75="","",'Fixtures Input'!D75)</f>
        <v/>
      </c>
      <c r="H72" s="4" t="str">
        <f>IF('Fixtures Input'!E75="","",'Fixtures Input'!E75)</f>
        <v/>
      </c>
      <c r="I72" s="4" t="str">
        <f>IF('Fixtures Input'!F75="","",'Fixtures Input'!F75)</f>
        <v/>
      </c>
      <c r="L72" s="4" t="str">
        <f>IF('Fixtures Input'!A75="","",IF('Fixtures Input'!G75="","Published",'Fixtures Input'!G75))</f>
        <v/>
      </c>
    </row>
    <row r="73" spans="3:12" x14ac:dyDescent="0.2">
      <c r="C73" s="9" t="str">
        <f>IF('Fixtures Input'!A76="","",'Fixtures Input'!A76)</f>
        <v/>
      </c>
      <c r="D73" s="4" t="str">
        <f t="shared" si="2"/>
        <v/>
      </c>
      <c r="F73" s="10" t="str">
        <f>IF('Fixtures Input'!C76="","",'Fixtures Input'!C76)</f>
        <v/>
      </c>
      <c r="G73" s="4" t="str">
        <f>IF('Fixtures Input'!D76="","",'Fixtures Input'!D76)</f>
        <v/>
      </c>
      <c r="H73" s="4" t="str">
        <f>IF('Fixtures Input'!E76="","",'Fixtures Input'!E76)</f>
        <v/>
      </c>
      <c r="I73" s="4" t="str">
        <f>IF('Fixtures Input'!F76="","",'Fixtures Input'!F76)</f>
        <v/>
      </c>
      <c r="L73" s="4" t="str">
        <f>IF('Fixtures Input'!A76="","",IF('Fixtures Input'!G76="","Published",'Fixtures Input'!G76))</f>
        <v/>
      </c>
    </row>
    <row r="74" spans="3:12" x14ac:dyDescent="0.2">
      <c r="C74" s="9" t="str">
        <f>IF('Fixtures Input'!A77="","",'Fixtures Input'!A77)</f>
        <v/>
      </c>
      <c r="D74" s="4" t="str">
        <f t="shared" si="2"/>
        <v/>
      </c>
      <c r="F74" s="10" t="str">
        <f>IF('Fixtures Input'!C77="","",'Fixtures Input'!C77)</f>
        <v/>
      </c>
      <c r="G74" s="4" t="str">
        <f>IF('Fixtures Input'!D77="","",'Fixtures Input'!D77)</f>
        <v/>
      </c>
      <c r="H74" s="4" t="str">
        <f>IF('Fixtures Input'!E77="","",'Fixtures Input'!E77)</f>
        <v/>
      </c>
      <c r="I74" s="4" t="str">
        <f>IF('Fixtures Input'!F77="","",'Fixtures Input'!F77)</f>
        <v/>
      </c>
      <c r="L74" s="4" t="str">
        <f>IF('Fixtures Input'!A77="","",IF('Fixtures Input'!G77="","Published",'Fixtures Input'!G77))</f>
        <v/>
      </c>
    </row>
    <row r="75" spans="3:12" x14ac:dyDescent="0.2">
      <c r="C75" s="9" t="str">
        <f>IF('Fixtures Input'!A78="","",'Fixtures Input'!A78)</f>
        <v/>
      </c>
      <c r="D75" s="4" t="str">
        <f t="shared" si="2"/>
        <v/>
      </c>
      <c r="F75" s="10" t="str">
        <f>IF('Fixtures Input'!C78="","",'Fixtures Input'!C78)</f>
        <v/>
      </c>
      <c r="G75" s="4" t="str">
        <f>IF('Fixtures Input'!D78="","",'Fixtures Input'!D78)</f>
        <v/>
      </c>
      <c r="H75" s="4" t="str">
        <f>IF('Fixtures Input'!E78="","",'Fixtures Input'!E78)</f>
        <v/>
      </c>
      <c r="I75" s="4" t="str">
        <f>IF('Fixtures Input'!F78="","",'Fixtures Input'!F78)</f>
        <v/>
      </c>
      <c r="L75" s="4" t="str">
        <f>IF('Fixtures Input'!A78="","",IF('Fixtures Input'!G78="","Published",'Fixtures Input'!G78))</f>
        <v/>
      </c>
    </row>
    <row r="76" spans="3:12" x14ac:dyDescent="0.2">
      <c r="C76" s="9" t="str">
        <f>IF('Fixtures Input'!A79="","",'Fixtures Input'!A79)</f>
        <v/>
      </c>
      <c r="D76" s="4" t="str">
        <f t="shared" si="2"/>
        <v/>
      </c>
      <c r="F76" s="10" t="str">
        <f>IF('Fixtures Input'!C79="","",'Fixtures Input'!C79)</f>
        <v/>
      </c>
      <c r="G76" s="4" t="str">
        <f>IF('Fixtures Input'!D79="","",'Fixtures Input'!D79)</f>
        <v/>
      </c>
      <c r="H76" s="4" t="str">
        <f>IF('Fixtures Input'!E79="","",'Fixtures Input'!E79)</f>
        <v/>
      </c>
      <c r="I76" s="4" t="str">
        <f>IF('Fixtures Input'!F79="","",'Fixtures Input'!F79)</f>
        <v/>
      </c>
      <c r="L76" s="4" t="str">
        <f>IF('Fixtures Input'!A79="","",IF('Fixtures Input'!G79="","Published",'Fixtures Input'!G79))</f>
        <v/>
      </c>
    </row>
    <row r="77" spans="3:12" x14ac:dyDescent="0.2">
      <c r="C77" s="9" t="str">
        <f>IF('Fixtures Input'!A80="","",'Fixtures Input'!A80)</f>
        <v/>
      </c>
      <c r="D77" s="4" t="str">
        <f t="shared" si="2"/>
        <v/>
      </c>
      <c r="F77" s="10" t="str">
        <f>IF('Fixtures Input'!C80="","",'Fixtures Input'!C80)</f>
        <v/>
      </c>
      <c r="G77" s="4" t="str">
        <f>IF('Fixtures Input'!D80="","",'Fixtures Input'!D80)</f>
        <v/>
      </c>
      <c r="H77" s="4" t="str">
        <f>IF('Fixtures Input'!E80="","",'Fixtures Input'!E80)</f>
        <v/>
      </c>
      <c r="I77" s="4" t="str">
        <f>IF('Fixtures Input'!F80="","",'Fixtures Input'!F80)</f>
        <v/>
      </c>
      <c r="L77" s="4" t="str">
        <f>IF('Fixtures Input'!A80="","",IF('Fixtures Input'!G80="","Published",'Fixtures Input'!G80))</f>
        <v/>
      </c>
    </row>
    <row r="78" spans="3:12" x14ac:dyDescent="0.2">
      <c r="C78" s="9" t="str">
        <f>IF('Fixtures Input'!A81="","",'Fixtures Input'!A81)</f>
        <v/>
      </c>
      <c r="D78" s="4" t="str">
        <f t="shared" si="2"/>
        <v/>
      </c>
      <c r="F78" s="10" t="str">
        <f>IF('Fixtures Input'!C81="","",'Fixtures Input'!C81)</f>
        <v/>
      </c>
      <c r="G78" s="4" t="str">
        <f>IF('Fixtures Input'!D81="","",'Fixtures Input'!D81)</f>
        <v/>
      </c>
      <c r="H78" s="4" t="str">
        <f>IF('Fixtures Input'!E81="","",'Fixtures Input'!E81)</f>
        <v/>
      </c>
      <c r="I78" s="4" t="str">
        <f>IF('Fixtures Input'!F81="","",'Fixtures Input'!F81)</f>
        <v/>
      </c>
      <c r="L78" s="4" t="str">
        <f>IF('Fixtures Input'!A81="","",IF('Fixtures Input'!G81="","Published",'Fixtures Input'!G81))</f>
        <v/>
      </c>
    </row>
    <row r="79" spans="3:12" x14ac:dyDescent="0.2">
      <c r="C79" s="9" t="str">
        <f>IF('Fixtures Input'!A82="","",'Fixtures Input'!A82)</f>
        <v/>
      </c>
      <c r="D79" s="4" t="str">
        <f t="shared" si="2"/>
        <v/>
      </c>
      <c r="F79" s="10" t="str">
        <f>IF('Fixtures Input'!C82="","",'Fixtures Input'!C82)</f>
        <v/>
      </c>
      <c r="G79" s="4" t="str">
        <f>IF('Fixtures Input'!D82="","",'Fixtures Input'!D82)</f>
        <v/>
      </c>
      <c r="H79" s="4" t="str">
        <f>IF('Fixtures Input'!E82="","",'Fixtures Input'!E82)</f>
        <v/>
      </c>
      <c r="I79" s="4" t="str">
        <f>IF('Fixtures Input'!F82="","",'Fixtures Input'!F82)</f>
        <v/>
      </c>
      <c r="L79" s="4" t="str">
        <f>IF('Fixtures Input'!A82="","",IF('Fixtures Input'!G82="","Published",'Fixtures Input'!G82))</f>
        <v/>
      </c>
    </row>
    <row r="80" spans="3:12" x14ac:dyDescent="0.2">
      <c r="C80" s="9" t="str">
        <f>IF('Fixtures Input'!A83="","",'Fixtures Input'!A83)</f>
        <v/>
      </c>
      <c r="D80" s="4" t="str">
        <f t="shared" si="2"/>
        <v/>
      </c>
      <c r="F80" s="10" t="str">
        <f>IF('Fixtures Input'!C83="","",'Fixtures Input'!C83)</f>
        <v/>
      </c>
      <c r="G80" s="4" t="str">
        <f>IF('Fixtures Input'!D83="","",'Fixtures Input'!D83)</f>
        <v/>
      </c>
      <c r="H80" s="4" t="str">
        <f>IF('Fixtures Input'!E83="","",'Fixtures Input'!E83)</f>
        <v/>
      </c>
      <c r="I80" s="4" t="str">
        <f>IF('Fixtures Input'!F83="","",'Fixtures Input'!F83)</f>
        <v/>
      </c>
      <c r="L80" s="4" t="str">
        <f>IF('Fixtures Input'!A83="","",IF('Fixtures Input'!G83="","Published",'Fixtures Input'!G83))</f>
        <v/>
      </c>
    </row>
    <row r="81" spans="3:12" x14ac:dyDescent="0.2">
      <c r="C81" s="9" t="str">
        <f>IF('Fixtures Input'!A84="","",'Fixtures Input'!A84)</f>
        <v/>
      </c>
      <c r="D81" s="4" t="str">
        <f t="shared" si="2"/>
        <v/>
      </c>
      <c r="F81" s="10" t="str">
        <f>IF('Fixtures Input'!C84="","",'Fixtures Input'!C84)</f>
        <v/>
      </c>
      <c r="G81" s="4" t="str">
        <f>IF('Fixtures Input'!D84="","",'Fixtures Input'!D84)</f>
        <v/>
      </c>
      <c r="H81" s="4" t="str">
        <f>IF('Fixtures Input'!E84="","",'Fixtures Input'!E84)</f>
        <v/>
      </c>
      <c r="I81" s="4" t="str">
        <f>IF('Fixtures Input'!F84="","",'Fixtures Input'!F84)</f>
        <v/>
      </c>
      <c r="L81" s="4" t="str">
        <f>IF('Fixtures Input'!A84="","",IF('Fixtures Input'!G84="","Published",'Fixtures Input'!G84))</f>
        <v/>
      </c>
    </row>
    <row r="82" spans="3:12" x14ac:dyDescent="0.2">
      <c r="C82" s="9" t="str">
        <f>IF('Fixtures Input'!A85="","",'Fixtures Input'!A85)</f>
        <v/>
      </c>
      <c r="D82" s="4" t="str">
        <f t="shared" si="2"/>
        <v/>
      </c>
      <c r="F82" s="10" t="str">
        <f>IF('Fixtures Input'!C85="","",'Fixtures Input'!C85)</f>
        <v/>
      </c>
      <c r="G82" s="4" t="str">
        <f>IF('Fixtures Input'!D85="","",'Fixtures Input'!D85)</f>
        <v/>
      </c>
      <c r="H82" s="4" t="str">
        <f>IF('Fixtures Input'!E85="","",'Fixtures Input'!E85)</f>
        <v/>
      </c>
      <c r="I82" s="4" t="str">
        <f>IF('Fixtures Input'!F85="","",'Fixtures Input'!F85)</f>
        <v/>
      </c>
      <c r="L82" s="4" t="str">
        <f>IF('Fixtures Input'!A85="","",IF('Fixtures Input'!G85="","Published",'Fixtures Input'!G85))</f>
        <v/>
      </c>
    </row>
    <row r="83" spans="3:12" x14ac:dyDescent="0.2">
      <c r="C83" s="9" t="str">
        <f>IF('Fixtures Input'!A86="","",'Fixtures Input'!A86)</f>
        <v/>
      </c>
      <c r="D83" s="4" t="str">
        <f t="shared" si="2"/>
        <v/>
      </c>
      <c r="F83" s="10" t="str">
        <f>IF('Fixtures Input'!C86="","",'Fixtures Input'!C86)</f>
        <v/>
      </c>
      <c r="G83" s="4" t="str">
        <f>IF('Fixtures Input'!D86="","",'Fixtures Input'!D86)</f>
        <v/>
      </c>
      <c r="H83" s="4" t="str">
        <f>IF('Fixtures Input'!E86="","",'Fixtures Input'!E86)</f>
        <v/>
      </c>
      <c r="I83" s="4" t="str">
        <f>IF('Fixtures Input'!F86="","",'Fixtures Input'!F86)</f>
        <v/>
      </c>
      <c r="L83" s="4" t="str">
        <f>IF('Fixtures Input'!A86="","",IF('Fixtures Input'!G86="","Published",'Fixtures Input'!G86))</f>
        <v/>
      </c>
    </row>
    <row r="84" spans="3:12" x14ac:dyDescent="0.2">
      <c r="C84" s="9" t="str">
        <f>IF('Fixtures Input'!A87="","",'Fixtures Input'!A87)</f>
        <v/>
      </c>
      <c r="D84" s="4" t="str">
        <f t="shared" si="2"/>
        <v/>
      </c>
      <c r="F84" s="10" t="str">
        <f>IF('Fixtures Input'!C87="","",'Fixtures Input'!C87)</f>
        <v/>
      </c>
      <c r="G84" s="4" t="str">
        <f>IF('Fixtures Input'!D87="","",'Fixtures Input'!D87)</f>
        <v/>
      </c>
      <c r="H84" s="4" t="str">
        <f>IF('Fixtures Input'!E87="","",'Fixtures Input'!E87)</f>
        <v/>
      </c>
      <c r="I84" s="4" t="str">
        <f>IF('Fixtures Input'!F87="","",'Fixtures Input'!F87)</f>
        <v/>
      </c>
      <c r="L84" s="4" t="str">
        <f>IF('Fixtures Input'!A87="","",IF('Fixtures Input'!G87="","Published",'Fixtures Input'!G87))</f>
        <v/>
      </c>
    </row>
    <row r="85" spans="3:12" x14ac:dyDescent="0.2">
      <c r="C85" s="9" t="str">
        <f>IF('Fixtures Input'!A88="","",'Fixtures Input'!A88)</f>
        <v/>
      </c>
      <c r="D85" s="4" t="str">
        <f t="shared" si="2"/>
        <v/>
      </c>
      <c r="F85" s="10" t="str">
        <f>IF('Fixtures Input'!C88="","",'Fixtures Input'!C88)</f>
        <v/>
      </c>
      <c r="G85" s="4" t="str">
        <f>IF('Fixtures Input'!D88="","",'Fixtures Input'!D88)</f>
        <v/>
      </c>
      <c r="H85" s="4" t="str">
        <f>IF('Fixtures Input'!E88="","",'Fixtures Input'!E88)</f>
        <v/>
      </c>
      <c r="I85" s="4" t="str">
        <f>IF('Fixtures Input'!F88="","",'Fixtures Input'!F88)</f>
        <v/>
      </c>
      <c r="L85" s="4" t="str">
        <f>IF('Fixtures Input'!A88="","",IF('Fixtures Input'!G88="","Published",'Fixtures Input'!G88))</f>
        <v/>
      </c>
    </row>
    <row r="86" spans="3:12" x14ac:dyDescent="0.2">
      <c r="C86" s="9" t="str">
        <f>IF('Fixtures Input'!A89="","",'Fixtures Input'!A89)</f>
        <v/>
      </c>
      <c r="D86" s="4" t="str">
        <f t="shared" si="2"/>
        <v/>
      </c>
      <c r="F86" s="10" t="str">
        <f>IF('Fixtures Input'!C89="","",'Fixtures Input'!C89)</f>
        <v/>
      </c>
      <c r="G86" s="4" t="str">
        <f>IF('Fixtures Input'!D89="","",'Fixtures Input'!D89)</f>
        <v/>
      </c>
      <c r="H86" s="4" t="str">
        <f>IF('Fixtures Input'!E89="","",'Fixtures Input'!E89)</f>
        <v/>
      </c>
      <c r="I86" s="4" t="str">
        <f>IF('Fixtures Input'!F89="","",'Fixtures Input'!F89)</f>
        <v/>
      </c>
      <c r="L86" s="4" t="str">
        <f>IF('Fixtures Input'!A89="","",IF('Fixtures Input'!G89="","Published",'Fixtures Input'!G89))</f>
        <v/>
      </c>
    </row>
    <row r="87" spans="3:12" x14ac:dyDescent="0.2">
      <c r="C87" s="9" t="str">
        <f>IF('Fixtures Input'!A90="","",'Fixtures Input'!A90)</f>
        <v/>
      </c>
      <c r="D87" s="4" t="str">
        <f t="shared" si="2"/>
        <v/>
      </c>
      <c r="F87" s="10" t="str">
        <f>IF('Fixtures Input'!C90="","",'Fixtures Input'!C90)</f>
        <v/>
      </c>
      <c r="G87" s="4" t="str">
        <f>IF('Fixtures Input'!D90="","",'Fixtures Input'!D90)</f>
        <v/>
      </c>
      <c r="H87" s="4" t="str">
        <f>IF('Fixtures Input'!E90="","",'Fixtures Input'!E90)</f>
        <v/>
      </c>
      <c r="I87" s="4" t="str">
        <f>IF('Fixtures Input'!F90="","",'Fixtures Input'!F90)</f>
        <v/>
      </c>
      <c r="L87" s="4" t="str">
        <f>IF('Fixtures Input'!A90="","",IF('Fixtures Input'!G90="","Published",'Fixtures Input'!G90))</f>
        <v/>
      </c>
    </row>
    <row r="88" spans="3:12" x14ac:dyDescent="0.2">
      <c r="C88" s="9" t="str">
        <f>IF('Fixtures Input'!A91="","",'Fixtures Input'!A91)</f>
        <v/>
      </c>
      <c r="D88" s="4" t="str">
        <f t="shared" si="2"/>
        <v/>
      </c>
      <c r="F88" s="10" t="str">
        <f>IF('Fixtures Input'!C91="","",'Fixtures Input'!C91)</f>
        <v/>
      </c>
      <c r="G88" s="4" t="str">
        <f>IF('Fixtures Input'!D91="","",'Fixtures Input'!D91)</f>
        <v/>
      </c>
      <c r="H88" s="4" t="str">
        <f>IF('Fixtures Input'!E91="","",'Fixtures Input'!E91)</f>
        <v/>
      </c>
      <c r="I88" s="4" t="str">
        <f>IF('Fixtures Input'!F91="","",'Fixtures Input'!F91)</f>
        <v/>
      </c>
      <c r="L88" s="4" t="str">
        <f>IF('Fixtures Input'!A91="","",IF('Fixtures Input'!G91="","Published",'Fixtures Input'!G91))</f>
        <v/>
      </c>
    </row>
    <row r="89" spans="3:12" x14ac:dyDescent="0.2">
      <c r="C89" s="9" t="str">
        <f>IF('Fixtures Input'!A92="","",'Fixtures Input'!A92)</f>
        <v/>
      </c>
      <c r="D89" s="4" t="str">
        <f t="shared" si="2"/>
        <v/>
      </c>
      <c r="F89" s="10" t="str">
        <f>IF('Fixtures Input'!C92="","",'Fixtures Input'!C92)</f>
        <v/>
      </c>
      <c r="G89" s="4" t="str">
        <f>IF('Fixtures Input'!D92="","",'Fixtures Input'!D92)</f>
        <v/>
      </c>
      <c r="H89" s="4" t="str">
        <f>IF('Fixtures Input'!E92="","",'Fixtures Input'!E92)</f>
        <v/>
      </c>
      <c r="I89" s="4" t="str">
        <f>IF('Fixtures Input'!F92="","",'Fixtures Input'!F92)</f>
        <v/>
      </c>
      <c r="L89" s="4" t="str">
        <f>IF('Fixtures Input'!A92="","",IF('Fixtures Input'!G92="","Published",'Fixtures Input'!G92))</f>
        <v/>
      </c>
    </row>
    <row r="90" spans="3:12" x14ac:dyDescent="0.2">
      <c r="C90" s="9" t="str">
        <f>IF('Fixtures Input'!A93="","",'Fixtures Input'!A93)</f>
        <v/>
      </c>
      <c r="D90" s="4" t="str">
        <f t="shared" si="2"/>
        <v/>
      </c>
      <c r="F90" s="10" t="str">
        <f>IF('Fixtures Input'!C93="","",'Fixtures Input'!C93)</f>
        <v/>
      </c>
      <c r="G90" s="4" t="str">
        <f>IF('Fixtures Input'!D93="","",'Fixtures Input'!D93)</f>
        <v/>
      </c>
      <c r="H90" s="4" t="str">
        <f>IF('Fixtures Input'!E93="","",'Fixtures Input'!E93)</f>
        <v/>
      </c>
      <c r="I90" s="4" t="str">
        <f>IF('Fixtures Input'!F93="","",'Fixtures Input'!F93)</f>
        <v/>
      </c>
      <c r="L90" s="4" t="str">
        <f>IF('Fixtures Input'!A93="","",IF('Fixtures Input'!G93="","Published",'Fixtures Input'!G93))</f>
        <v/>
      </c>
    </row>
    <row r="91" spans="3:12" x14ac:dyDescent="0.2">
      <c r="C91" s="9" t="str">
        <f>IF('Fixtures Input'!A94="","",'Fixtures Input'!A94)</f>
        <v/>
      </c>
      <c r="D91" s="4" t="str">
        <f t="shared" si="2"/>
        <v/>
      </c>
      <c r="F91" s="10" t="str">
        <f>IF('Fixtures Input'!C94="","",'Fixtures Input'!C94)</f>
        <v/>
      </c>
      <c r="G91" s="4" t="str">
        <f>IF('Fixtures Input'!D94="","",'Fixtures Input'!D94)</f>
        <v/>
      </c>
      <c r="H91" s="4" t="str">
        <f>IF('Fixtures Input'!E94="","",'Fixtures Input'!E94)</f>
        <v/>
      </c>
      <c r="I91" s="4" t="str">
        <f>IF('Fixtures Input'!F94="","",'Fixtures Input'!F94)</f>
        <v/>
      </c>
      <c r="L91" s="4" t="str">
        <f>IF('Fixtures Input'!A94="","",IF('Fixtures Input'!G94="","Published",'Fixtures Input'!G94))</f>
        <v/>
      </c>
    </row>
    <row r="92" spans="3:12" x14ac:dyDescent="0.2">
      <c r="C92" s="9" t="str">
        <f>IF('Fixtures Input'!A95="","",'Fixtures Input'!A95)</f>
        <v/>
      </c>
      <c r="D92" s="4" t="str">
        <f t="shared" si="2"/>
        <v/>
      </c>
      <c r="F92" s="10" t="str">
        <f>IF('Fixtures Input'!C95="","",'Fixtures Input'!C95)</f>
        <v/>
      </c>
      <c r="G92" s="4" t="str">
        <f>IF('Fixtures Input'!D95="","",'Fixtures Input'!D95)</f>
        <v/>
      </c>
      <c r="H92" s="4" t="str">
        <f>IF('Fixtures Input'!E95="","",'Fixtures Input'!E95)</f>
        <v/>
      </c>
      <c r="I92" s="4" t="str">
        <f>IF('Fixtures Input'!F95="","",'Fixtures Input'!F95)</f>
        <v/>
      </c>
      <c r="L92" s="4" t="str">
        <f>IF('Fixtures Input'!A95="","",IF('Fixtures Input'!G95="","Published",'Fixtures Input'!G95))</f>
        <v/>
      </c>
    </row>
    <row r="93" spans="3:12" x14ac:dyDescent="0.2">
      <c r="C93" s="9" t="str">
        <f>IF('Fixtures Input'!A96="","",'Fixtures Input'!A96)</f>
        <v/>
      </c>
      <c r="D93" s="4" t="str">
        <f t="shared" si="2"/>
        <v/>
      </c>
      <c r="F93" s="10" t="str">
        <f>IF('Fixtures Input'!C96="","",'Fixtures Input'!C96)</f>
        <v/>
      </c>
      <c r="G93" s="4" t="str">
        <f>IF('Fixtures Input'!D96="","",'Fixtures Input'!D96)</f>
        <v/>
      </c>
      <c r="H93" s="4" t="str">
        <f>IF('Fixtures Input'!E96="","",'Fixtures Input'!E96)</f>
        <v/>
      </c>
      <c r="I93" s="4" t="str">
        <f>IF('Fixtures Input'!F96="","",'Fixtures Input'!F96)</f>
        <v/>
      </c>
      <c r="L93" s="4" t="str">
        <f>IF('Fixtures Input'!A96="","",IF('Fixtures Input'!G96="","Published",'Fixtures Input'!G96))</f>
        <v/>
      </c>
    </row>
    <row r="106" spans="2:8" ht="20" x14ac:dyDescent="0.2">
      <c r="B106" s="17" t="s">
        <v>41</v>
      </c>
      <c r="C106" s="17"/>
      <c r="D106" s="17"/>
      <c r="E106" s="17"/>
      <c r="F106" s="17"/>
      <c r="G106" s="17"/>
      <c r="H106" s="17"/>
    </row>
    <row r="107" spans="2:8" x14ac:dyDescent="0.2">
      <c r="B107" s="1" t="s">
        <v>42</v>
      </c>
      <c r="C107" s="1" t="s">
        <v>43</v>
      </c>
      <c r="E107" s="1" t="s">
        <v>44</v>
      </c>
      <c r="H107" s="1" t="s">
        <v>45</v>
      </c>
    </row>
    <row r="108" spans="2:8" x14ac:dyDescent="0.2">
      <c r="B108" s="4" t="s">
        <v>46</v>
      </c>
      <c r="C108" s="11">
        <f>COUNTIFS('Fixtures Input'!$A$5:$A$96,"&gt;="&amp;DATE(YEAR('Club Setup'!$B$6),4,1),'Fixtures Input'!$A$5:$A$96,"&lt;"&amp;EDATE(DATE(YEAR('Club Setup'!$B$6),4,1),1))</f>
        <v>0</v>
      </c>
      <c r="E108" s="11">
        <f>COUNTIFS('Results Input'!$A$5:$A$204,"&gt;="&amp;DATE(YEAR('Club Setup'!$B$6),4,1),'Results Input'!$A$5:$A$204,"&lt;"&amp;EDATE(DATE(YEAR('Club Setup'!$B$6),4,1),1),'Results Input'!$E$5:$E$204,"Yes")</f>
        <v>0</v>
      </c>
      <c r="H108" s="11">
        <f>COUNTIFS('Fixtures Input'!$A$5:$A$96,"&gt;="&amp;DATE(YEAR('Club Setup'!$B$6),4,1),'Fixtures Input'!$A$5:$A$96,"&lt;"&amp;EDATE(DATE(YEAR('Club Setup'!$B$6),4,1),1),'Fixtures Input'!$G$5:$G$96,"&lt;&gt;Cancelled")</f>
        <v>0</v>
      </c>
    </row>
    <row r="109" spans="2:8" x14ac:dyDescent="0.2">
      <c r="B109" s="4" t="s">
        <v>47</v>
      </c>
      <c r="C109" s="11">
        <f>COUNTIFS('Fixtures Input'!$A$5:$A$96,"&gt;="&amp;DATE(YEAR('Club Setup'!$B$6),5,1),'Fixtures Input'!$A$5:$A$96,"&lt;"&amp;EDATE(DATE(YEAR('Club Setup'!$B$6),5,1),1))</f>
        <v>1</v>
      </c>
      <c r="E109" s="11">
        <f>COUNTIFS('Results Input'!$A$5:$A$204,"&gt;="&amp;DATE(YEAR('Club Setup'!$B$6),5,1),'Results Input'!$A$5:$A$204,"&lt;"&amp;EDATE(DATE(YEAR('Club Setup'!$B$6),5,1),1),'Results Input'!$E$5:$E$204,"Yes")</f>
        <v>1</v>
      </c>
      <c r="H109" s="11">
        <f>COUNTIFS('Fixtures Input'!$A$5:$A$96,"&gt;="&amp;DATE(YEAR('Club Setup'!$B$6),5,1),'Fixtures Input'!$A$5:$A$96,"&lt;"&amp;EDATE(DATE(YEAR('Club Setup'!$B$6),5,1),1),'Fixtures Input'!$G$5:$G$96,"&lt;&gt;Cancelled")</f>
        <v>1</v>
      </c>
    </row>
    <row r="110" spans="2:8" x14ac:dyDescent="0.2">
      <c r="B110" s="4" t="s">
        <v>48</v>
      </c>
      <c r="C110" s="11">
        <f>COUNTIFS('Fixtures Input'!$A$5:$A$96,"&gt;="&amp;DATE(YEAR('Club Setup'!$B$6),6,1),'Fixtures Input'!$A$5:$A$96,"&lt;"&amp;EDATE(DATE(YEAR('Club Setup'!$B$6),6,1),1))</f>
        <v>0</v>
      </c>
      <c r="E110" s="11">
        <f>COUNTIFS('Results Input'!$A$5:$A$204,"&gt;="&amp;DATE(YEAR('Club Setup'!$B$6),6,1),'Results Input'!$A$5:$A$204,"&lt;"&amp;EDATE(DATE(YEAR('Club Setup'!$B$6),6,1),1),'Results Input'!$E$5:$E$204,"Yes")</f>
        <v>0</v>
      </c>
      <c r="H110" s="11">
        <f>COUNTIFS('Fixtures Input'!$A$5:$A$96,"&gt;="&amp;DATE(YEAR('Club Setup'!$B$6),6,1),'Fixtures Input'!$A$5:$A$96,"&lt;"&amp;EDATE(DATE(YEAR('Club Setup'!$B$6),6,1),1),'Fixtures Input'!$G$5:$G$96,"&lt;&gt;Cancelled")</f>
        <v>0</v>
      </c>
    </row>
    <row r="111" spans="2:8" x14ac:dyDescent="0.2">
      <c r="B111" s="4" t="s">
        <v>49</v>
      </c>
      <c r="C111" s="11">
        <f>COUNTIFS('Fixtures Input'!$A$5:$A$96,"&gt;="&amp;DATE(YEAR('Club Setup'!$B$6),7,1),'Fixtures Input'!$A$5:$A$96,"&lt;"&amp;EDATE(DATE(YEAR('Club Setup'!$B$6),7,1),1))</f>
        <v>0</v>
      </c>
      <c r="E111" s="11">
        <f>COUNTIFS('Results Input'!$A$5:$A$204,"&gt;="&amp;DATE(YEAR('Club Setup'!$B$6),7,1),'Results Input'!$A$5:$A$204,"&lt;"&amp;EDATE(DATE(YEAR('Club Setup'!$B$6),7,1),1),'Results Input'!$E$5:$E$204,"Yes")</f>
        <v>0</v>
      </c>
      <c r="H111" s="11">
        <f>COUNTIFS('Fixtures Input'!$A$5:$A$96,"&gt;="&amp;DATE(YEAR('Club Setup'!$B$6),7,1),'Fixtures Input'!$A$5:$A$96,"&lt;"&amp;EDATE(DATE(YEAR('Club Setup'!$B$6),7,1),1),'Fixtures Input'!$G$5:$G$96,"&lt;&gt;Cancelled")</f>
        <v>0</v>
      </c>
    </row>
    <row r="112" spans="2:8" x14ac:dyDescent="0.2">
      <c r="B112" s="4" t="s">
        <v>50</v>
      </c>
      <c r="C112" s="11">
        <f>COUNTIFS('Fixtures Input'!$A$5:$A$96,"&gt;="&amp;DATE(YEAR('Club Setup'!$B$6),8,1),'Fixtures Input'!$A$5:$A$96,"&lt;"&amp;EDATE(DATE(YEAR('Club Setup'!$B$6),8,1),1))</f>
        <v>0</v>
      </c>
      <c r="E112" s="11">
        <f>COUNTIFS('Results Input'!$A$5:$A$204,"&gt;="&amp;DATE(YEAR('Club Setup'!$B$6),8,1),'Results Input'!$A$5:$A$204,"&lt;"&amp;EDATE(DATE(YEAR('Club Setup'!$B$6),8,1),1),'Results Input'!$E$5:$E$204,"Yes")</f>
        <v>0</v>
      </c>
      <c r="H112" s="11">
        <f>COUNTIFS('Fixtures Input'!$A$5:$A$96,"&gt;="&amp;DATE(YEAR('Club Setup'!$B$6),8,1),'Fixtures Input'!$A$5:$A$96,"&lt;"&amp;EDATE(DATE(YEAR('Club Setup'!$B$6),8,1),1),'Fixtures Input'!$G$5:$G$96,"&lt;&gt;Cancelled")</f>
        <v>0</v>
      </c>
    </row>
  </sheetData>
  <mergeCells count="1">
    <mergeCell ref="B106:H106"/>
  </mergeCells>
  <pageMargins left="0.3" right="0.3" top="0.5" bottom="0.5" header="0.2" footer="0.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5A5A5"/>
  </sheetPr>
  <dimension ref="K1:AC22"/>
  <sheetViews>
    <sheetView showGridLines="0" workbookViewId="0">
      <pane ySplit="5" topLeftCell="A6" activePane="bottomLeft" state="frozen"/>
      <selection pane="bottomLeft" activeCell="K12" sqref="K12"/>
    </sheetView>
  </sheetViews>
  <sheetFormatPr baseColWidth="10" defaultColWidth="9" defaultRowHeight="14" x14ac:dyDescent="0.2"/>
  <cols>
    <col min="1" max="10" width="3" customWidth="1"/>
    <col min="11" max="11" width="28" customWidth="1"/>
    <col min="12" max="18" width="3" customWidth="1"/>
    <col min="19" max="20" width="15" customWidth="1"/>
    <col min="21" max="25" width="3" customWidth="1"/>
    <col min="26" max="26" width="18" customWidth="1"/>
    <col min="27" max="28" width="3" customWidth="1"/>
    <col min="29" max="29" width="14" customWidth="1"/>
  </cols>
  <sheetData>
    <row r="1" spans="11:29" ht="20" x14ac:dyDescent="0.2">
      <c r="K1" s="17" t="s">
        <v>51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5" spans="11:29" x14ac:dyDescent="0.2">
      <c r="K5" s="1" t="s">
        <v>52</v>
      </c>
      <c r="S5" s="1" t="s">
        <v>53</v>
      </c>
      <c r="T5" s="1" t="s">
        <v>44</v>
      </c>
      <c r="Z5" s="1" t="s">
        <v>54</v>
      </c>
      <c r="AC5" s="1" t="s">
        <v>55</v>
      </c>
    </row>
    <row r="7" spans="11:29" x14ac:dyDescent="0.2">
      <c r="K7" s="4" t="str">
        <f>IF('Club Setup'!A11="","",'Club Setup'!A11)</f>
        <v/>
      </c>
      <c r="S7" s="11" t="str">
        <f>IF(K7="","",MAX(0,IFERROR(INDEX('Club Setup'!$B$11:$B$24,MATCH(K7,'Club Setup'!$A$11:$A$24,0)),0)-T7))</f>
        <v/>
      </c>
      <c r="T7" s="11" t="str">
        <f>IF(K7="","",COUNTIFS('Results Input'!$B$5:$B$204,K7,'Results Input'!$E$5:$E$204,"Yes"))</f>
        <v/>
      </c>
      <c r="Z7" s="12" t="str">
        <f>IF(K7="","",IFERROR(AVERAGEIFS('Results Input'!$G$5:$G$204,'Results Input'!$B$5:$B$204,K7,'Results Input'!$E$5:$E$204,"Yes"),""))</f>
        <v/>
      </c>
      <c r="AC7" s="13" t="str">
        <f t="shared" ref="AC7:AC20" si="0">IF(K7="","",IFERROR(T7/(T7+S7),0))</f>
        <v/>
      </c>
    </row>
    <row r="8" spans="11:29" x14ac:dyDescent="0.2">
      <c r="K8" s="4" t="str">
        <f>IF('Club Setup'!A12="","",'Club Setup'!A12)</f>
        <v/>
      </c>
      <c r="S8" s="11" t="str">
        <f>IF(K8="","",MAX(0,IFERROR(INDEX('Club Setup'!$B$11:$B$24,MATCH(K8,'Club Setup'!$A$11:$A$24,0)),0)-T8))</f>
        <v/>
      </c>
      <c r="T8" s="11" t="str">
        <f>IF(K8="","",COUNTIFS('Results Input'!$B$5:$B$204,K8,'Results Input'!$E$5:$E$204,"Yes"))</f>
        <v/>
      </c>
      <c r="Z8" s="12" t="str">
        <f>IF(K8="","",IFERROR(AVERAGEIFS('Results Input'!$G$5:$G$204,'Results Input'!$B$5:$B$204,K8,'Results Input'!$E$5:$E$204,"Yes"),""))</f>
        <v/>
      </c>
      <c r="AC8" s="13" t="str">
        <f t="shared" si="0"/>
        <v/>
      </c>
    </row>
    <row r="9" spans="11:29" x14ac:dyDescent="0.2">
      <c r="K9" s="4" t="str">
        <f>IF('Club Setup'!A13="","",'Club Setup'!A13)</f>
        <v/>
      </c>
      <c r="S9" s="11" t="str">
        <f>IF(K9="","",MAX(0,IFERROR(INDEX('Club Setup'!$B$11:$B$24,MATCH(K9,'Club Setup'!$A$11:$A$24,0)),0)-T9))</f>
        <v/>
      </c>
      <c r="T9" s="11" t="str">
        <f>IF(K9="","",COUNTIFS('Results Input'!$B$5:$B$204,K9,'Results Input'!$E$5:$E$204,"Yes"))</f>
        <v/>
      </c>
      <c r="Z9" s="12" t="str">
        <f>IF(K9="","",IFERROR(AVERAGEIFS('Results Input'!$G$5:$G$204,'Results Input'!$B$5:$B$204,K9,'Results Input'!$E$5:$E$204,"Yes"),""))</f>
        <v/>
      </c>
      <c r="AC9" s="13" t="str">
        <f t="shared" si="0"/>
        <v/>
      </c>
    </row>
    <row r="10" spans="11:29" x14ac:dyDescent="0.2">
      <c r="K10" s="4" t="str">
        <f>IF('Club Setup'!A14="","",'Club Setup'!A14)</f>
        <v/>
      </c>
      <c r="S10" s="11" t="str">
        <f>IF(K10="","",MAX(0,IFERROR(INDEX('Club Setup'!$B$11:$B$24,MATCH(K10,'Club Setup'!$A$11:$A$24,0)),0)-T10))</f>
        <v/>
      </c>
      <c r="T10" s="11" t="str">
        <f>IF(K10="","",COUNTIFS('Results Input'!$B$5:$B$204,K10,'Results Input'!$E$5:$E$204,"Yes"))</f>
        <v/>
      </c>
      <c r="Z10" s="12" t="str">
        <f>IF(K10="","",IFERROR(AVERAGEIFS('Results Input'!$G$5:$G$204,'Results Input'!$B$5:$B$204,K10,'Results Input'!$E$5:$E$204,"Yes"),""))</f>
        <v/>
      </c>
      <c r="AC10" s="13" t="str">
        <f t="shared" si="0"/>
        <v/>
      </c>
    </row>
    <row r="11" spans="11:29" x14ac:dyDescent="0.2">
      <c r="K11" s="4" t="str">
        <f>IF('Club Setup'!A15="","",'Club Setup'!A15)</f>
        <v/>
      </c>
      <c r="S11" s="11" t="str">
        <f>IF(K11="","",MAX(0,IFERROR(INDEX('Club Setup'!$B$11:$B$24,MATCH(K11,'Club Setup'!$A$11:$A$24,0)),0)-T11))</f>
        <v/>
      </c>
      <c r="T11" s="11" t="str">
        <f>IF(K11="","",COUNTIFS('Results Input'!$B$5:$B$204,K11,'Results Input'!$E$5:$E$204,"Yes"))</f>
        <v/>
      </c>
      <c r="Z11" s="12" t="str">
        <f>IF(K11="","",IFERROR(AVERAGEIFS('Results Input'!$G$5:$G$204,'Results Input'!$B$5:$B$204,K11,'Results Input'!$E$5:$E$204,"Yes"),""))</f>
        <v/>
      </c>
      <c r="AC11" s="13" t="str">
        <f t="shared" si="0"/>
        <v/>
      </c>
    </row>
    <row r="12" spans="11:29" x14ac:dyDescent="0.2">
      <c r="K12" s="4" t="str">
        <f>IF('Club Setup'!A16="","",'Club Setup'!A16)</f>
        <v/>
      </c>
      <c r="S12" s="11" t="str">
        <f>IF(K12="","",MAX(0,IFERROR(INDEX('Club Setup'!$B$11:$B$24,MATCH(K12,'Club Setup'!$A$11:$A$24,0)),0)-T12))</f>
        <v/>
      </c>
      <c r="T12" s="11" t="str">
        <f>IF(K12="","",COUNTIFS('Results Input'!$B$5:$B$204,K12,'Results Input'!$E$5:$E$204,"Yes"))</f>
        <v/>
      </c>
      <c r="Z12" s="12" t="str">
        <f>IF(K12="","",IFERROR(AVERAGEIFS('Results Input'!$G$5:$G$204,'Results Input'!$B$5:$B$204,K12,'Results Input'!$E$5:$E$204,"Yes"),""))</f>
        <v/>
      </c>
      <c r="AC12" s="13" t="str">
        <f t="shared" si="0"/>
        <v/>
      </c>
    </row>
    <row r="13" spans="11:29" x14ac:dyDescent="0.2">
      <c r="K13" s="4" t="str">
        <f>IF('Club Setup'!A17="","",'Club Setup'!A17)</f>
        <v/>
      </c>
      <c r="S13" s="11" t="str">
        <f>IF(K13="","",MAX(0,IFERROR(INDEX('Club Setup'!$B$11:$B$24,MATCH(K13,'Club Setup'!$A$11:$A$24,0)),0)-T13))</f>
        <v/>
      </c>
      <c r="T13" s="11" t="str">
        <f>IF(K13="","",COUNTIFS('Results Input'!$B$5:$B$204,K13,'Results Input'!$E$5:$E$204,"Yes"))</f>
        <v/>
      </c>
      <c r="Z13" s="12" t="str">
        <f>IF(K13="","",IFERROR(AVERAGEIFS('Results Input'!$G$5:$G$204,'Results Input'!$B$5:$B$204,K13,'Results Input'!$E$5:$E$204,"Yes"),""))</f>
        <v/>
      </c>
      <c r="AC13" s="13" t="str">
        <f t="shared" si="0"/>
        <v/>
      </c>
    </row>
    <row r="14" spans="11:29" x14ac:dyDescent="0.2">
      <c r="K14" s="4" t="str">
        <f>IF('Club Setup'!A18="","",'Club Setup'!A18)</f>
        <v/>
      </c>
      <c r="S14" s="11" t="str">
        <f>IF(K14="","",MAX(0,IFERROR(INDEX('Club Setup'!$B$11:$B$24,MATCH(K14,'Club Setup'!$A$11:$A$24,0)),0)-T14))</f>
        <v/>
      </c>
      <c r="T14" s="11" t="str">
        <f>IF(K14="","",COUNTIFS('Results Input'!$B$5:$B$204,K14,'Results Input'!$E$5:$E$204,"Yes"))</f>
        <v/>
      </c>
      <c r="Z14" s="12" t="str">
        <f>IF(K14="","",IFERROR(AVERAGEIFS('Results Input'!$G$5:$G$204,'Results Input'!$B$5:$B$204,K14,'Results Input'!$E$5:$E$204,"Yes"),""))</f>
        <v/>
      </c>
      <c r="AC14" s="13" t="str">
        <f t="shared" si="0"/>
        <v/>
      </c>
    </row>
    <row r="15" spans="11:29" x14ac:dyDescent="0.2">
      <c r="K15" s="4" t="str">
        <f>IF('Club Setup'!A19="","",'Club Setup'!A19)</f>
        <v>test team</v>
      </c>
      <c r="S15" s="11">
        <f>IF(K15="","",MAX(0,IFERROR(INDEX('Club Setup'!$B$11:$B$24,MATCH(K15,'Club Setup'!$A$11:$A$24,0)),0)-T15))</f>
        <v>4</v>
      </c>
      <c r="T15" s="11">
        <f>IF(K15="","",COUNTIFS('Results Input'!$B$5:$B$204,K15,'Results Input'!$E$5:$E$204,"Yes"))</f>
        <v>0</v>
      </c>
      <c r="Z15" s="12" t="str">
        <f>IF(K15="","",IFERROR(AVERAGEIFS('Results Input'!$G$5:$G$204,'Results Input'!$B$5:$B$204,K15,'Results Input'!$E$5:$E$204,"Yes"),""))</f>
        <v/>
      </c>
      <c r="AC15" s="13">
        <f t="shared" si="0"/>
        <v>0</v>
      </c>
    </row>
    <row r="16" spans="11:29" x14ac:dyDescent="0.2">
      <c r="K16" s="4" t="str">
        <f>IF('Club Setup'!A20="","",'Club Setup'!A20)</f>
        <v/>
      </c>
      <c r="S16" s="11" t="str">
        <f>IF(K16="","",MAX(0,IFERROR(INDEX('Club Setup'!$B$11:$B$24,MATCH(K16,'Club Setup'!$A$11:$A$24,0)),0)-T16))</f>
        <v/>
      </c>
      <c r="T16" s="11" t="str">
        <f>IF(K16="","",COUNTIFS('Results Input'!$B$5:$B$204,K16,'Results Input'!$E$5:$E$204,"Yes"))</f>
        <v/>
      </c>
      <c r="Z16" s="12" t="str">
        <f>IF(K16="","",IFERROR(AVERAGEIFS('Results Input'!$G$5:$G$204,'Results Input'!$B$5:$B$204,K16,'Results Input'!$E$5:$E$204,"Yes"),""))</f>
        <v/>
      </c>
      <c r="AC16" s="13" t="str">
        <f t="shared" si="0"/>
        <v/>
      </c>
    </row>
    <row r="17" spans="11:29" x14ac:dyDescent="0.2">
      <c r="K17" s="4" t="str">
        <f>IF('Club Setup'!A21="","",'Club Setup'!A21)</f>
        <v/>
      </c>
      <c r="S17" s="11" t="str">
        <f>IF(K17="","",MAX(0,IFERROR(INDEX('Club Setup'!$B$11:$B$24,MATCH(K17,'Club Setup'!$A$11:$A$24,0)),0)-T17))</f>
        <v/>
      </c>
      <c r="T17" s="11" t="str">
        <f>IF(K17="","",COUNTIFS('Results Input'!$B$5:$B$204,K17,'Results Input'!$E$5:$E$204,"Yes"))</f>
        <v/>
      </c>
      <c r="Z17" s="12" t="str">
        <f>IF(K17="","",IFERROR(AVERAGEIFS('Results Input'!$G$5:$G$204,'Results Input'!$B$5:$B$204,K17,'Results Input'!$E$5:$E$204,"Yes"),""))</f>
        <v/>
      </c>
      <c r="AC17" s="13" t="str">
        <f t="shared" si="0"/>
        <v/>
      </c>
    </row>
    <row r="18" spans="11:29" x14ac:dyDescent="0.2">
      <c r="K18" s="4" t="str">
        <f>IF('Club Setup'!A22="","",'Club Setup'!A22)</f>
        <v/>
      </c>
      <c r="S18" s="11" t="str">
        <f>IF(K18="","",MAX(0,IFERROR(INDEX('Club Setup'!$B$11:$B$24,MATCH(K18,'Club Setup'!$A$11:$A$24,0)),0)-T18))</f>
        <v/>
      </c>
      <c r="T18" s="11" t="str">
        <f>IF(K18="","",COUNTIFS('Results Input'!$B$5:$B$204,K18,'Results Input'!$E$5:$E$204,"Yes"))</f>
        <v/>
      </c>
      <c r="Z18" s="12" t="str">
        <f>IF(K18="","",IFERROR(AVERAGEIFS('Results Input'!$G$5:$G$204,'Results Input'!$B$5:$B$204,K18,'Results Input'!$E$5:$E$204,"Yes"),""))</f>
        <v/>
      </c>
      <c r="AC18" s="13" t="str">
        <f t="shared" si="0"/>
        <v/>
      </c>
    </row>
    <row r="19" spans="11:29" x14ac:dyDescent="0.2">
      <c r="K19" s="4" t="str">
        <f>IF('Club Setup'!A23="","",'Club Setup'!A23)</f>
        <v/>
      </c>
      <c r="S19" s="11" t="str">
        <f>IF(K19="","",MAX(0,IFERROR(INDEX('Club Setup'!$B$11:$B$24,MATCH(K19,'Club Setup'!$A$11:$A$24,0)),0)-T19))</f>
        <v/>
      </c>
      <c r="T19" s="11" t="str">
        <f>IF(K19="","",COUNTIFS('Results Input'!$B$5:$B$204,K19,'Results Input'!$E$5:$E$204,"Yes"))</f>
        <v/>
      </c>
      <c r="Z19" s="12" t="str">
        <f>IF(K19="","",IFERROR(AVERAGEIFS('Results Input'!$G$5:$G$204,'Results Input'!$B$5:$B$204,K19,'Results Input'!$E$5:$E$204,"Yes"),""))</f>
        <v/>
      </c>
      <c r="AC19" s="13" t="str">
        <f t="shared" si="0"/>
        <v/>
      </c>
    </row>
    <row r="20" spans="11:29" x14ac:dyDescent="0.2">
      <c r="K20" s="4" t="str">
        <f>IF('Club Setup'!A24="","",'Club Setup'!A24)</f>
        <v/>
      </c>
      <c r="S20" s="11" t="str">
        <f>IF(K20="","",MAX(0,IFERROR(INDEX('Club Setup'!$B$11:$B$24,MATCH(K20,'Club Setup'!$A$11:$A$24,0)),0)-T20))</f>
        <v/>
      </c>
      <c r="T20" s="11" t="str">
        <f>IF(K20="","",COUNTIFS('Results Input'!$B$5:$B$204,K20,'Results Input'!$E$5:$E$204,"Yes"))</f>
        <v/>
      </c>
      <c r="Z20" s="12" t="str">
        <f>IF(K20="","",IFERROR(AVERAGEIFS('Results Input'!$G$5:$G$204,'Results Input'!$B$5:$B$204,K20,'Results Input'!$E$5:$E$204,"Yes"),""))</f>
        <v/>
      </c>
      <c r="AC20" s="13" t="str">
        <f t="shared" si="0"/>
        <v/>
      </c>
    </row>
    <row r="21" spans="11:29" x14ac:dyDescent="0.2">
      <c r="K21" s="1" t="s">
        <v>56</v>
      </c>
      <c r="T21" s="14">
        <f>COUNTIF('Results Input'!$E$5:$E$204,"Yes")</f>
        <v>1</v>
      </c>
      <c r="U21" s="14">
        <f>COUNTIFS('Results Input'!$E$5:$E$204,"Yes",'Results Input'!$F$5:$F$204,"Yes")</f>
        <v>1</v>
      </c>
    </row>
    <row r="22" spans="11:29" ht="135" x14ac:dyDescent="0.2">
      <c r="T22" s="6" t="s">
        <v>57</v>
      </c>
      <c r="U22" s="6" t="s">
        <v>58</v>
      </c>
    </row>
  </sheetData>
  <mergeCells count="1">
    <mergeCell ref="K1:AC1"/>
  </mergeCells>
  <pageMargins left="0.3" right="0.3" top="0.5" bottom="0.5" header="0.2" footer="0.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5A5A5"/>
  </sheetPr>
  <dimension ref="A1:A3"/>
  <sheetViews>
    <sheetView showGridLines="0" workbookViewId="0"/>
  </sheetViews>
  <sheetFormatPr baseColWidth="10" defaultColWidth="9" defaultRowHeight="14" x14ac:dyDescent="0.2"/>
  <cols>
    <col min="1" max="1" width="80" customWidth="1"/>
  </cols>
  <sheetData>
    <row r="1" spans="1:1" ht="180" customHeight="1" x14ac:dyDescent="0.2">
      <c r="A1" s="15" t="str">
        <f>IF('Portal Updates'!A5="","",'Portal Updates'!A5)</f>
        <v/>
      </c>
    </row>
    <row r="3" spans="1:1" ht="15" x14ac:dyDescent="0.2">
      <c r="A3" s="6" t="s">
        <v>59</v>
      </c>
    </row>
  </sheetData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Club Setup</vt:lpstr>
      <vt:lpstr>Fixtures Input</vt:lpstr>
      <vt:lpstr>Results Input</vt:lpstr>
      <vt:lpstr>Portal Updates</vt:lpstr>
      <vt:lpstr>By Date</vt:lpstr>
      <vt:lpstr>League Results</vt:lpstr>
      <vt:lpstr>Portal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Reusable Tennis Club Portal Workbook Template</dc:title>
  <dc:creator>OpenAI Codex</dc:creator>
  <dc:description>Input-led template mapped to the MTSC Fixtures Portal cells documented in SITE_DATA_SOURCES.md.</dc:description>
  <cp:lastModifiedBy>John MacPherson</cp:lastModifiedBy>
  <dcterms:created xsi:type="dcterms:W3CDTF">2026-08-15T00:00:00Z</dcterms:created>
  <dcterms:modified xsi:type="dcterms:W3CDTF">2026-08-15T11:00:29Z</dcterms:modified>
</cp:coreProperties>
</file>